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Hồ Sơ\2025 - HĐ (Tuyển từ TK1)\"/>
    </mc:Choice>
  </mc:AlternateContent>
  <xr:revisionPtr revIDLastSave="0" documentId="13_ncr:1_{61D4A303-EBC3-4880-AFAA-D982BC869C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Đánh giá" sheetId="1" r:id="rId1"/>
    <sheet name="PLHĐ" sheetId="2" r:id="rId2"/>
    <sheet name="Sheet3" sheetId="3" r:id="rId3"/>
  </sheets>
  <definedNames>
    <definedName name="_xlnm.Print_Area" localSheetId="0">'Đánh giá'!$A$1:$S$41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0" i="1" l="1"/>
  <c r="O38" i="1"/>
  <c r="O6" i="1"/>
  <c r="I8" i="1"/>
  <c r="I9" i="1"/>
  <c r="I10" i="1"/>
  <c r="I11" i="1"/>
  <c r="I12" i="1"/>
  <c r="R12" i="1" s="1"/>
  <c r="I13" i="1"/>
  <c r="R13" i="1" s="1"/>
  <c r="I14" i="1"/>
  <c r="I15" i="1"/>
  <c r="I16" i="1"/>
  <c r="I17" i="1"/>
  <c r="R17" i="1" s="1"/>
  <c r="I18" i="1"/>
  <c r="R18" i="1" s="1"/>
  <c r="I19" i="1"/>
  <c r="R19" i="1" s="1"/>
  <c r="I20" i="1"/>
  <c r="R20" i="1" s="1"/>
  <c r="I21" i="1"/>
  <c r="R21" i="1" s="1"/>
  <c r="I22" i="1"/>
  <c r="R22" i="1" s="1"/>
  <c r="I23" i="1"/>
  <c r="R23" i="1" s="1"/>
  <c r="I24" i="1"/>
  <c r="I25" i="1"/>
  <c r="R25" i="1" s="1"/>
  <c r="I26" i="1"/>
  <c r="R26" i="1" s="1"/>
  <c r="I27" i="1"/>
  <c r="I28" i="1"/>
  <c r="I29" i="1"/>
  <c r="I30" i="1"/>
  <c r="I31" i="1"/>
  <c r="H13" i="1"/>
  <c r="H12" i="1"/>
  <c r="H11" i="1"/>
  <c r="H10" i="1"/>
  <c r="H9" i="1"/>
  <c r="H8" i="1"/>
  <c r="H7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G39" i="1"/>
  <c r="G38" i="1"/>
  <c r="R24" i="1"/>
  <c r="R27" i="1"/>
  <c r="R28" i="1"/>
  <c r="R8" i="1"/>
  <c r="R9" i="1"/>
  <c r="R10" i="1"/>
  <c r="R11" i="1"/>
  <c r="R29" i="1"/>
  <c r="R30" i="1"/>
  <c r="R31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L18" i="1"/>
  <c r="O18" i="1"/>
  <c r="O12" i="1"/>
  <c r="O8" i="1"/>
  <c r="O9" i="1"/>
  <c r="O10" i="1"/>
  <c r="O11" i="1"/>
  <c r="O13" i="1"/>
  <c r="O14" i="1"/>
  <c r="O17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7" i="1"/>
  <c r="L8" i="1"/>
  <c r="L9" i="1"/>
  <c r="L10" i="1"/>
  <c r="L11" i="1"/>
  <c r="L12" i="1"/>
  <c r="L13" i="1"/>
  <c r="L17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G8" i="1"/>
  <c r="G9" i="1"/>
  <c r="G10" i="1"/>
  <c r="G11" i="1"/>
  <c r="G12" i="1"/>
  <c r="G13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16" i="1"/>
  <c r="L16" i="1" s="1"/>
  <c r="E15" i="1"/>
  <c r="L15" i="1" s="1"/>
  <c r="E14" i="1"/>
  <c r="G14" i="1" s="1"/>
  <c r="Q9" i="1"/>
  <c r="Q10" i="1"/>
  <c r="Q11" i="1"/>
  <c r="Q12" i="1"/>
  <c r="S8" i="1"/>
  <c r="S9" i="1"/>
  <c r="S10" i="1"/>
  <c r="S11" i="1"/>
  <c r="S12" i="1"/>
  <c r="S7" i="1"/>
  <c r="Q7" i="1"/>
  <c r="Q4" i="1"/>
  <c r="R15" i="1" l="1"/>
  <c r="R14" i="1"/>
  <c r="R16" i="1"/>
  <c r="O15" i="1"/>
  <c r="O16" i="1"/>
  <c r="G16" i="1"/>
  <c r="G15" i="1"/>
  <c r="L14" i="1"/>
  <c r="L7" i="1"/>
  <c r="L6" i="1" s="1"/>
  <c r="L38" i="1" s="1"/>
  <c r="L39" i="1" s="1"/>
  <c r="R32" i="1"/>
  <c r="Q8" i="1"/>
  <c r="I7" i="1"/>
  <c r="I6" i="1" s="1"/>
  <c r="I38" i="1" s="1"/>
  <c r="I39" i="1" s="1"/>
  <c r="G7" i="1"/>
  <c r="R33" i="1"/>
  <c r="G6" i="1" l="1"/>
  <c r="R7" i="1"/>
  <c r="O39" i="1" l="1"/>
  <c r="G40" i="1"/>
  <c r="I40" i="1"/>
  <c r="L40" i="1"/>
  <c r="R13" i="2"/>
  <c r="R14" i="2"/>
  <c r="R15" i="2"/>
  <c r="R16" i="2"/>
  <c r="R12" i="2"/>
  <c r="R11" i="2" s="1"/>
  <c r="O23" i="2"/>
  <c r="O25" i="2" s="1"/>
  <c r="L23" i="2"/>
  <c r="L25" i="2" s="1"/>
  <c r="I23" i="2"/>
  <c r="R23" i="2" s="1"/>
  <c r="G23" i="2"/>
  <c r="G25" i="2" s="1"/>
  <c r="R21" i="2"/>
  <c r="R20" i="2"/>
  <c r="R19" i="2"/>
  <c r="R18" i="2"/>
  <c r="R9" i="2"/>
  <c r="Q8" i="2"/>
  <c r="R8" i="2" s="1"/>
  <c r="O8" i="2"/>
  <c r="L8" i="2"/>
  <c r="I8" i="2"/>
  <c r="G8" i="2"/>
  <c r="Q7" i="2"/>
  <c r="R7" i="2" s="1"/>
  <c r="O7" i="2"/>
  <c r="L7" i="2"/>
  <c r="I7" i="2"/>
  <c r="G7" i="2"/>
  <c r="R40" i="1" l="1"/>
  <c r="R38" i="1"/>
  <c r="R6" i="1"/>
  <c r="R17" i="2"/>
  <c r="R10" i="2" s="1"/>
  <c r="G6" i="2"/>
  <c r="G22" i="2" s="1"/>
  <c r="G24" i="2" s="1"/>
  <c r="O6" i="2"/>
  <c r="O22" i="2" s="1"/>
  <c r="O24" i="2" s="1"/>
  <c r="O26" i="2" s="1"/>
  <c r="L6" i="2"/>
  <c r="L22" i="2" s="1"/>
  <c r="L24" i="2" s="1"/>
  <c r="L26" i="2" s="1"/>
  <c r="I25" i="2"/>
  <c r="R25" i="2" s="1"/>
  <c r="I6" i="2"/>
  <c r="I22" i="2" s="1"/>
  <c r="R22" i="2" s="1"/>
  <c r="R6" i="2"/>
  <c r="L44" i="1" l="1"/>
  <c r="R39" i="1"/>
  <c r="I24" i="2"/>
  <c r="R24" i="2" s="1"/>
  <c r="I26" i="2"/>
  <c r="R26" i="2" s="1"/>
  <c r="Q41" i="1"/>
</calcChain>
</file>

<file path=xl/sharedStrings.xml><?xml version="1.0" encoding="utf-8"?>
<sst xmlns="http://schemas.openxmlformats.org/spreadsheetml/2006/main" count="279" uniqueCount="120">
  <si>
    <t>PHỤ LỤC 03</t>
  </si>
  <si>
    <t>BẢNG CHI TIẾT SO SÁNH GIÁ</t>
  </si>
  <si>
    <t>TT</t>
  </si>
  <si>
    <t>Nội dung</t>
  </si>
  <si>
    <t>Quy cách</t>
  </si>
  <si>
    <t>ĐVT</t>
  </si>
  <si>
    <t>Số lượng</t>
  </si>
  <si>
    <t>Dự toán</t>
  </si>
  <si>
    <t>Thành tiền</t>
  </si>
  <si>
    <t>Đơn giá</t>
  </si>
  <si>
    <t>Xuất xứ</t>
  </si>
  <si>
    <t>Báo giá các nhà cung cấp</t>
  </si>
  <si>
    <t>Công ty TNHH Công nghiệp và TM Trí Đạt</t>
  </si>
  <si>
    <t>Công ty CP PTCN và thiết bị TMC Việt Nam</t>
  </si>
  <si>
    <t>Công ty TNHH TM HDB Việt Nam</t>
  </si>
  <si>
    <t>Kết quả đề nghị phê duyệt</t>
  </si>
  <si>
    <t>I</t>
  </si>
  <si>
    <t>Que hàn</t>
  </si>
  <si>
    <t>Ống hợp kim lõi két nước (gồm tản nhiệt)</t>
  </si>
  <si>
    <t>ER4043 F2,4m</t>
  </si>
  <si>
    <t>1220x450</t>
  </si>
  <si>
    <t>Kg</t>
  </si>
  <si>
    <t>Cái</t>
  </si>
  <si>
    <t>II</t>
  </si>
  <si>
    <t>Chi phí nhân công</t>
  </si>
  <si>
    <t>III</t>
  </si>
  <si>
    <t>Bảo hiểm xã hội</t>
  </si>
  <si>
    <t>IV</t>
  </si>
  <si>
    <t>Khấu hao</t>
  </si>
  <si>
    <t>V</t>
  </si>
  <si>
    <t>Chi phí khác</t>
  </si>
  <si>
    <t>VI</t>
  </si>
  <si>
    <t>Lợi nhuận định mức</t>
  </si>
  <si>
    <t>VII</t>
  </si>
  <si>
    <t>Tổng hạng mục thuế 10%</t>
  </si>
  <si>
    <t>VIII</t>
  </si>
  <si>
    <t>Tổng hạng mục thuế 8%</t>
  </si>
  <si>
    <t>IX</t>
  </si>
  <si>
    <t>X</t>
  </si>
  <si>
    <t>Thuế VAT hạng mục 8%</t>
  </si>
  <si>
    <t>Thuế VAT hạng mục 10%</t>
  </si>
  <si>
    <t>Tổng cộng</t>
  </si>
  <si>
    <t>Việt Nam</t>
  </si>
  <si>
    <t>XI</t>
  </si>
  <si>
    <t>Động lực</t>
  </si>
  <si>
    <t>Chi phí vật tư, NVL</t>
  </si>
  <si>
    <t>XẾP HẠNG</t>
  </si>
  <si>
    <t>Xếp thứ nhất</t>
  </si>
  <si>
    <t>Xếp thứ hai</t>
  </si>
  <si>
    <t>Xếp thứ ba</t>
  </si>
  <si>
    <t>PHỤ LỤC</t>
  </si>
  <si>
    <t xml:space="preserve">(Kèm theo Tờ trình số </t>
  </si>
  <si>
    <t>Nhân công trực tiếp</t>
  </si>
  <si>
    <t>Công</t>
  </si>
  <si>
    <t>-</t>
  </si>
  <si>
    <t>Nhân công gián tiếp, phụ trợ</t>
  </si>
  <si>
    <t>Tháo két nước</t>
  </si>
  <si>
    <t>Vệ sinh két nước và hàn gia cố</t>
  </si>
  <si>
    <t>Hàn nắp két nước vào bộ lõi</t>
  </si>
  <si>
    <t>Thử áp lực sau khi hàn hoàn thiện</t>
  </si>
  <si>
    <t>Cẩu vận chuyển đến kho</t>
  </si>
  <si>
    <t>Tổng cộng sau VAT</t>
  </si>
  <si>
    <t>ok</t>
  </si>
  <si>
    <t>Tang máy tuyển từ</t>
  </si>
  <si>
    <t>SUS304, Ø 1200x3800</t>
  </si>
  <si>
    <t xml:space="preserve">Bi </t>
  </si>
  <si>
    <t>1220 SKF</t>
  </si>
  <si>
    <t>Thanh điều chỉnh góc nam châm</t>
  </si>
  <si>
    <t>650x200x60</t>
  </si>
  <si>
    <t>Giá đỡ nam châm</t>
  </si>
  <si>
    <t>3508x1019</t>
  </si>
  <si>
    <t>Nam châm</t>
  </si>
  <si>
    <t>1100÷1300 Gauss; 3508x1019</t>
  </si>
  <si>
    <t>Buồng tuyển</t>
  </si>
  <si>
    <t>1850x420x1098, SUS304</t>
  </si>
  <si>
    <t>Phễu thu</t>
  </si>
  <si>
    <t>3073x255x1053, SUS304</t>
  </si>
  <si>
    <t xml:space="preserve">Thép </t>
  </si>
  <si>
    <t>I150</t>
  </si>
  <si>
    <t>U100</t>
  </si>
  <si>
    <t>V75</t>
  </si>
  <si>
    <t>Tấm Inox</t>
  </si>
  <si>
    <t>1 ly</t>
  </si>
  <si>
    <t>Bu lông</t>
  </si>
  <si>
    <t>M16x60</t>
  </si>
  <si>
    <t>Que hàn các bon</t>
  </si>
  <si>
    <r>
      <rPr>
        <sz val="13"/>
        <color indexed="8"/>
        <rFont val="Symbol"/>
        <family val="1"/>
        <charset val="2"/>
      </rPr>
      <t>f</t>
    </r>
    <r>
      <rPr>
        <sz val="13"/>
        <color indexed="8"/>
        <rFont val="Times New Roman"/>
        <family val="1"/>
      </rPr>
      <t>3,2</t>
    </r>
  </si>
  <si>
    <t>Que hàn Inox sus 304</t>
  </si>
  <si>
    <t xml:space="preserve"> 12kg/bình</t>
  </si>
  <si>
    <t>Khí ôxy</t>
  </si>
  <si>
    <t>Gas</t>
  </si>
  <si>
    <t>Chổi sắt đánh gỉ gắn máy hình bát</t>
  </si>
  <si>
    <t>Đá cắt kim loại D100</t>
  </si>
  <si>
    <r>
      <rPr>
        <sz val="13"/>
        <color indexed="8"/>
        <rFont val="Symbol"/>
        <family val="1"/>
        <charset val="2"/>
      </rPr>
      <t>f</t>
    </r>
    <r>
      <rPr>
        <sz val="13"/>
        <color indexed="8"/>
        <rFont val="Times New Roman"/>
        <family val="1"/>
      </rPr>
      <t>100</t>
    </r>
  </si>
  <si>
    <t xml:space="preserve">T thu nhựa chịu nhiệt </t>
  </si>
  <si>
    <r>
      <rPr>
        <sz val="13"/>
        <color indexed="8"/>
        <rFont val="Symbol"/>
        <family val="1"/>
        <charset val="2"/>
      </rPr>
      <t>f</t>
    </r>
    <r>
      <rPr>
        <sz val="13"/>
        <color indexed="8"/>
        <rFont val="Times New Roman"/>
        <family val="1"/>
      </rPr>
      <t>63-</t>
    </r>
    <r>
      <rPr>
        <sz val="13"/>
        <color indexed="8"/>
        <rFont val="Symbol"/>
        <family val="1"/>
        <charset val="2"/>
      </rPr>
      <t>f</t>
    </r>
    <r>
      <rPr>
        <sz val="13"/>
        <color indexed="8"/>
        <rFont val="Times New Roman"/>
        <family val="1"/>
      </rPr>
      <t>25 PN16</t>
    </r>
  </si>
  <si>
    <t xml:space="preserve">Chếch nhựa chịu nhiệt </t>
  </si>
  <si>
    <r>
      <rPr>
        <sz val="13"/>
        <color indexed="8"/>
        <rFont val="Symbol"/>
        <family val="1"/>
        <charset val="2"/>
      </rPr>
      <t>f</t>
    </r>
    <r>
      <rPr>
        <sz val="13"/>
        <color indexed="8"/>
        <rFont val="Times New Roman"/>
        <family val="1"/>
      </rPr>
      <t xml:space="preserve"> 25</t>
    </r>
  </si>
  <si>
    <t xml:space="preserve">Ống nhựa chịu nhiệt </t>
  </si>
  <si>
    <r>
      <rPr>
        <sz val="13"/>
        <color indexed="8"/>
        <rFont val="Symbol"/>
        <family val="1"/>
        <charset val="2"/>
      </rPr>
      <t>f</t>
    </r>
    <r>
      <rPr>
        <sz val="13"/>
        <color indexed="8"/>
        <rFont val="Times New Roman"/>
        <family val="1"/>
      </rPr>
      <t xml:space="preserve"> 63</t>
    </r>
  </si>
  <si>
    <t xml:space="preserve">Van nhựa chịu nhiệt </t>
  </si>
  <si>
    <t xml:space="preserve">Rắc co nhựa chịu nhiệt </t>
  </si>
  <si>
    <r>
      <rPr>
        <sz val="13"/>
        <color indexed="8"/>
        <rFont val="Symbol"/>
        <family val="1"/>
        <charset val="2"/>
      </rPr>
      <t>f</t>
    </r>
    <r>
      <rPr>
        <sz val="13"/>
        <color indexed="8"/>
        <rFont val="Times New Roman"/>
        <family val="1"/>
      </rPr>
      <t xml:space="preserve"> 63 PN16</t>
    </r>
  </si>
  <si>
    <t xml:space="preserve">Cút góc nhựa chịu nhiệt </t>
  </si>
  <si>
    <t>cái</t>
  </si>
  <si>
    <t>Vòng</t>
  </si>
  <si>
    <t>Bộ</t>
  </si>
  <si>
    <t>Chai</t>
  </si>
  <si>
    <t>Viên</t>
  </si>
  <si>
    <t>Mét</t>
  </si>
  <si>
    <t>Công ty Thành Long</t>
  </si>
  <si>
    <t>Công ty Hoàng Long</t>
  </si>
  <si>
    <t>Công ty Thăng Long</t>
  </si>
  <si>
    <t>Thuế VAT theo 10%</t>
  </si>
  <si>
    <t>Malaysia</t>
  </si>
  <si>
    <t>Trung Quốc</t>
  </si>
  <si>
    <t>Khấu hao tài sản</t>
  </si>
  <si>
    <t>India</t>
  </si>
  <si>
    <t xml:space="preserve">Mỡ Sphee rol </t>
  </si>
  <si>
    <t>EPL3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</si>
</sst>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_(* #,##0_);_(* \(#,##0\);_(* &quot;-&quot;??_);_(@_)"/>
    <numFmt numFmtId="167" formatCode="00.000"/>
    <numFmt numFmtId="168" formatCode="&quot;?&quot;#,##0;&quot;?&quot;\-#,##0"/>
    <numFmt numFmtId="169" formatCode="_ &quot;\&quot;* #,##0_ ;_ &quot;\&quot;* \-#,##0_ ;_ &quot;\&quot;* &quot;-&quot;_ ;_ @_ "/>
    <numFmt numFmtId="170" formatCode="_ &quot;\&quot;* #,##0.00_ ;_ &quot;\&quot;* \-#,##0.00_ ;_ &quot;\&quot;* &quot;-&quot;??_ ;_ @_ "/>
    <numFmt numFmtId="171" formatCode="_ * #,##0_ ;_ * \-#,##0_ ;_ * &quot;-&quot;_ ;_ @_ "/>
    <numFmt numFmtId="172" formatCode="_ * #,##0.00_ ;_ * \-#,##0.00_ ;_ * &quot;-&quot;??_ ;_ @_ "/>
    <numFmt numFmtId="173" formatCode="\$#,##0\ ;\(\$#,##0\)"/>
    <numFmt numFmtId="174" formatCode="&quot;Dong&quot;#,##0.00_);[Red]\(&quot;Dong&quot;#,##0.00\)"/>
    <numFmt numFmtId="175" formatCode="00000"/>
    <numFmt numFmtId="176" formatCode="0.0000"/>
    <numFmt numFmtId="177" formatCode="0.00_)"/>
    <numFmt numFmtId="178" formatCode="#,##0.00\ &quot;F&quot;;[Red]\-#,##0.00\ &quot;F&quot;"/>
    <numFmt numFmtId="179" formatCode="&quot;£&quot;#,##0;[Red]\-&quot;£&quot;#,##0"/>
    <numFmt numFmtId="180" formatCode="_-* #,##0\ &quot;F&quot;_-;\-* #,##0\ &quot;F&quot;_-;_-* &quot;-&quot;\ &quot;F&quot;_-;_-@_-"/>
    <numFmt numFmtId="181" formatCode="#,##0\ &quot;F&quot;;[Red]\-#,##0\ &quot;F&quot;"/>
    <numFmt numFmtId="182" formatCode="#,##0.00\ &quot;F&quot;;\-#,##0.00\ &quot;F&quot;"/>
    <numFmt numFmtId="183" formatCode="#,##0\ &quot;DM&quot;;\-#,##0\ &quot;DM&quot;"/>
    <numFmt numFmtId="184" formatCode="0.000%"/>
    <numFmt numFmtId="185" formatCode="&quot;￥&quot;#,##0;&quot;￥&quot;\-#,##0"/>
    <numFmt numFmtId="186" formatCode="_-&quot;$&quot;* #,##0_-;\-&quot;$&quot;* #,##0_-;_-&quot;$&quot;* &quot;-&quot;_-;_-@_-"/>
    <numFmt numFmtId="187" formatCode="_-&quot;$&quot;* #,##0.00_-;\-&quot;$&quot;* #,##0.00_-;_-&quot;$&quot;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indexed="8"/>
      <name val="Calibri"/>
      <family val="2"/>
    </font>
    <font>
      <b/>
      <sz val="14"/>
      <color theme="1"/>
      <name val="Times New Roman"/>
      <family val="1"/>
    </font>
    <font>
      <sz val="12"/>
      <name val=".VnTime"/>
      <family val="2"/>
    </font>
    <font>
      <sz val="14"/>
      <name val=".VnTime"/>
      <family val="2"/>
    </font>
    <font>
      <sz val="10"/>
      <name val="Arial"/>
      <family val="2"/>
    </font>
    <font>
      <sz val="11"/>
      <name val="??"/>
      <family val="3"/>
    </font>
    <font>
      <sz val="14"/>
      <name val="??"/>
      <family val="3"/>
    </font>
    <font>
      <sz val="12"/>
      <name val="????"/>
      <family val="1"/>
      <charset val="136"/>
    </font>
    <font>
      <sz val="12"/>
      <name val="???"/>
      <family val="3"/>
    </font>
    <font>
      <sz val="10"/>
      <name val="???"/>
      <family val="3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1"/>
      <name val="±¼¸²Ã¼"/>
      <family val="3"/>
      <charset val="129"/>
    </font>
    <font>
      <sz val="12"/>
      <name val="¹UAAA¼"/>
      <family val="1"/>
      <charset val="129"/>
    </font>
    <font>
      <sz val="12"/>
      <name val="µ¸¿òÃ¼"/>
      <family val="3"/>
      <charset val="129"/>
    </font>
    <font>
      <b/>
      <i/>
      <sz val="14"/>
      <name val="VNTime"/>
      <family val="2"/>
    </font>
    <font>
      <sz val="12"/>
      <name val="System"/>
      <family val="1"/>
      <charset val="129"/>
    </font>
    <font>
      <b/>
      <sz val="11"/>
      <name val="VNTimeH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6"/>
      <name val="Helv"/>
    </font>
    <font>
      <sz val="11"/>
      <name val="–¾’©"/>
      <family val="1"/>
      <charset val="128"/>
    </font>
    <font>
      <sz val="13"/>
      <name val=".VnTime"/>
      <family val="2"/>
    </font>
    <font>
      <sz val="14"/>
      <name val=".VnArial"/>
      <family val="2"/>
    </font>
    <font>
      <sz val="10"/>
      <name val=" "/>
      <family val="1"/>
      <charset val="136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9"/>
      <name val="Arial"/>
      <family val="2"/>
    </font>
    <font>
      <sz val="11"/>
      <name val="ＭＳ 明朝"/>
      <family val="1"/>
      <charset val="128"/>
    </font>
    <font>
      <sz val="12"/>
      <name val="Courier"/>
      <family val="3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8"/>
      <name val="Calibri"/>
      <family val="2"/>
      <scheme val="minor"/>
    </font>
    <font>
      <sz val="13"/>
      <color theme="1"/>
      <name val="Times New Roman"/>
      <family val="1"/>
      <charset val="2"/>
    </font>
    <font>
      <sz val="13"/>
      <color indexed="8"/>
      <name val="Symbol"/>
      <family val="1"/>
      <charset val="2"/>
    </font>
    <font>
      <sz val="13"/>
      <color indexed="8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sz val="13"/>
      <color rgb="FFFF0000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4">
    <xf numFmtId="0" fontId="0" fillId="0" borderId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168" fontId="11" fillId="0" borderId="0" applyFont="0" applyFill="0" applyBorder="0" applyAlignment="0" applyProtection="0"/>
    <xf numFmtId="40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41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6" fillId="3" borderId="0"/>
    <xf numFmtId="0" fontId="17" fillId="3" borderId="0"/>
    <xf numFmtId="0" fontId="18" fillId="3" borderId="0"/>
    <xf numFmtId="0" fontId="19" fillId="0" borderId="0">
      <alignment wrapText="1"/>
    </xf>
    <xf numFmtId="0" fontId="20" fillId="0" borderId="0"/>
    <xf numFmtId="0" fontId="20" fillId="0" borderId="0"/>
    <xf numFmtId="0" fontId="20" fillId="0" borderId="0"/>
    <xf numFmtId="169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170" fontId="23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171" fontId="23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172" fontId="23" fillId="0" borderId="0" applyFont="0" applyFill="0" applyBorder="0" applyAlignment="0" applyProtection="0"/>
    <xf numFmtId="0" fontId="24" fillId="0" borderId="0"/>
    <xf numFmtId="0" fontId="8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5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6" fillId="0" borderId="0"/>
    <xf numFmtId="3" fontId="8" fillId="0" borderId="0" applyFont="0" applyBorder="0" applyAlignment="0"/>
    <xf numFmtId="3" fontId="8" fillId="0" borderId="0" applyFont="0" applyBorder="0" applyAlignment="0"/>
    <xf numFmtId="2" fontId="10" fillId="0" borderId="0" applyFont="0" applyFill="0" applyBorder="0" applyAlignment="0" applyProtection="0"/>
    <xf numFmtId="174" fontId="20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4" fontId="20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5" fontId="9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174" fontId="20" fillId="4" borderId="3" applyBorder="0">
      <alignment horizontal="center"/>
    </xf>
    <xf numFmtId="0" fontId="10" fillId="0" borderId="0"/>
    <xf numFmtId="0" fontId="10" fillId="0" borderId="0"/>
    <xf numFmtId="0" fontId="27" fillId="0" borderId="4" applyNumberFormat="0" applyAlignment="0" applyProtection="0">
      <alignment horizontal="left" vertical="center"/>
    </xf>
    <xf numFmtId="0" fontId="27" fillId="0" borderId="5">
      <alignment horizontal="left" vertical="center"/>
    </xf>
    <xf numFmtId="176" fontId="9" fillId="0" borderId="2"/>
    <xf numFmtId="176" fontId="9" fillId="0" borderId="2"/>
    <xf numFmtId="0" fontId="28" fillId="0" borderId="0" applyNumberFormat="0" applyFont="0" applyFill="0" applyAlignment="0"/>
    <xf numFmtId="177" fontId="29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8" fillId="0" borderId="0"/>
    <xf numFmtId="0" fontId="8" fillId="0" borderId="0"/>
    <xf numFmtId="4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" fillId="0" borderId="0"/>
    <xf numFmtId="178" fontId="31" fillId="0" borderId="6">
      <alignment horizontal="right" vertical="center"/>
    </xf>
    <xf numFmtId="179" fontId="9" fillId="0" borderId="6">
      <alignment horizontal="right" vertical="center"/>
    </xf>
    <xf numFmtId="179" fontId="9" fillId="0" borderId="6">
      <alignment horizontal="right" vertical="center"/>
    </xf>
    <xf numFmtId="179" fontId="9" fillId="0" borderId="6">
      <alignment horizontal="right" vertical="center"/>
    </xf>
    <xf numFmtId="178" fontId="31" fillId="0" borderId="6">
      <alignment horizontal="right" vertical="center"/>
    </xf>
    <xf numFmtId="178" fontId="31" fillId="0" borderId="6">
      <alignment horizontal="right" vertical="center"/>
    </xf>
    <xf numFmtId="179" fontId="9" fillId="0" borderId="6">
      <alignment horizontal="right" vertical="center"/>
    </xf>
    <xf numFmtId="179" fontId="9" fillId="0" borderId="6">
      <alignment horizontal="right" vertical="center"/>
    </xf>
    <xf numFmtId="179" fontId="9" fillId="0" borderId="6">
      <alignment horizontal="right" vertical="center"/>
    </xf>
    <xf numFmtId="180" fontId="31" fillId="0" borderId="6">
      <alignment horizontal="center"/>
    </xf>
    <xf numFmtId="0" fontId="31" fillId="0" borderId="0" applyNumberFormat="0" applyFill="0" applyBorder="0" applyAlignment="0" applyProtection="0"/>
    <xf numFmtId="181" fontId="31" fillId="0" borderId="0"/>
    <xf numFmtId="182" fontId="31" fillId="0" borderId="1"/>
    <xf numFmtId="0" fontId="32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" fillId="0" borderId="0">
      <alignment vertical="center"/>
    </xf>
    <xf numFmtId="4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6" fillId="0" borderId="0"/>
    <xf numFmtId="183" fontId="37" fillId="0" borderId="0" applyFont="0" applyFill="0" applyBorder="0" applyAlignment="0" applyProtection="0"/>
    <xf numFmtId="184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38" fillId="0" borderId="0"/>
    <xf numFmtId="0" fontId="28" fillId="0" borderId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7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40" fillId="0" borderId="0"/>
    <xf numFmtId="186" fontId="39" fillId="0" borderId="0" applyFont="0" applyFill="0" applyBorder="0" applyAlignment="0" applyProtection="0"/>
    <xf numFmtId="164" fontId="41" fillId="0" borderId="0" applyFont="0" applyFill="0" applyBorder="0" applyAlignment="0" applyProtection="0"/>
    <xf numFmtId="187" fontId="39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66" fontId="2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6" fontId="3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166" fontId="3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166" fontId="5" fillId="0" borderId="0" xfId="1" applyNumberFormat="1" applyFont="1"/>
    <xf numFmtId="3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166" fontId="5" fillId="0" borderId="1" xfId="1" applyNumberFormat="1" applyFont="1" applyBorder="1"/>
    <xf numFmtId="166" fontId="5" fillId="0" borderId="1" xfId="2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vertical="center"/>
    </xf>
    <xf numFmtId="166" fontId="2" fillId="0" borderId="1" xfId="1" applyNumberFormat="1" applyFont="1" applyFill="1" applyBorder="1" applyAlignment="1">
      <alignment vertical="center"/>
    </xf>
    <xf numFmtId="166" fontId="4" fillId="0" borderId="1" xfId="2" applyNumberFormat="1" applyFont="1" applyFill="1" applyBorder="1" applyAlignment="1">
      <alignment vertical="center"/>
    </xf>
    <xf numFmtId="166" fontId="5" fillId="0" borderId="1" xfId="2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42" fillId="0" borderId="1" xfId="0" applyFont="1" applyBorder="1" applyAlignment="1">
      <alignment horizontal="right" vertical="center" wrapText="1"/>
    </xf>
    <xf numFmtId="3" fontId="42" fillId="0" borderId="7" xfId="0" applyNumberFormat="1" applyFont="1" applyBorder="1" applyAlignment="1">
      <alignment horizontal="right" vertical="center" wrapText="1"/>
    </xf>
    <xf numFmtId="3" fontId="5" fillId="0" borderId="7" xfId="0" applyNumberFormat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66" fontId="4" fillId="0" borderId="7" xfId="2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48" fillId="0" borderId="1" xfId="0" applyNumberFormat="1" applyFont="1" applyBorder="1" applyAlignment="1">
      <alignment horizontal="center" vertical="center" wrapText="1"/>
    </xf>
    <xf numFmtId="3" fontId="49" fillId="0" borderId="1" xfId="0" applyNumberFormat="1" applyFont="1" applyBorder="1" applyAlignment="1">
      <alignment horizontal="center" vertical="center" wrapText="1"/>
    </xf>
    <xf numFmtId="3" fontId="50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166" fontId="2" fillId="0" borderId="7" xfId="1" applyNumberFormat="1" applyFont="1" applyBorder="1" applyAlignment="1">
      <alignment vertical="center"/>
    </xf>
    <xf numFmtId="166" fontId="5" fillId="0" borderId="7" xfId="1" applyNumberFormat="1" applyFont="1" applyBorder="1"/>
    <xf numFmtId="0" fontId="42" fillId="5" borderId="1" xfId="0" applyFont="1" applyFill="1" applyBorder="1" applyAlignment="1">
      <alignment horizontal="left" vertical="center" wrapText="1"/>
    </xf>
    <xf numFmtId="0" fontId="43" fillId="0" borderId="1" xfId="0" applyFont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166" fontId="4" fillId="0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49" fontId="42" fillId="5" borderId="1" xfId="0" applyNumberFormat="1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1" fontId="42" fillId="5" borderId="1" xfId="0" applyNumberFormat="1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vertical="center" wrapText="1"/>
    </xf>
    <xf numFmtId="0" fontId="42" fillId="5" borderId="1" xfId="0" applyFont="1" applyFill="1" applyBorder="1" applyAlignment="1">
      <alignment vertical="center"/>
    </xf>
    <xf numFmtId="0" fontId="42" fillId="6" borderId="1" xfId="0" applyFont="1" applyFill="1" applyBorder="1" applyAlignment="1">
      <alignment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44">
    <cellStyle name="??" xfId="3" xr:uid="{580C6892-DD95-4F1D-B7F9-D69B421AD1C0}"/>
    <cellStyle name="?? [0.00]_PRODUCT DETAIL Q1" xfId="4" xr:uid="{BCBCDD6E-50AA-4797-9863-4657F21C1C18}"/>
    <cellStyle name="?? [0]" xfId="5" xr:uid="{3E58485A-3177-4D7F-B680-B0E602F18EEF}"/>
    <cellStyle name="???? [0.00]_PRODUCT DETAIL Q1" xfId="6" xr:uid="{4BC83860-C513-451E-9B8C-8484EFA96035}"/>
    <cellStyle name="????_PRODUCT DETAIL Q1" xfId="7" xr:uid="{D15EDDD2-5162-4664-BCC9-B871539AD7CB}"/>
    <cellStyle name="???[0]_Book1" xfId="8" xr:uid="{48F3D674-5FBF-4849-BDD2-AE28F0CF3D40}"/>
    <cellStyle name="???_95" xfId="9" xr:uid="{24CC0C06-B185-4FB9-B24F-4BA9B23176F2}"/>
    <cellStyle name="??_(????)??????" xfId="10" xr:uid="{BFC9A871-FA3D-42A5-B332-8E9A59382F44}"/>
    <cellStyle name="1" xfId="11" xr:uid="{0C1AAB9B-E863-4E89-9631-A8A2EB234D59}"/>
    <cellStyle name="2" xfId="12" xr:uid="{B083FCF0-442E-4355-B90B-227F627C325C}"/>
    <cellStyle name="3" xfId="13" xr:uid="{780513D5-51F7-4942-AEE3-90E3F14D2C08}"/>
    <cellStyle name="4" xfId="14" xr:uid="{10D2B7BD-306B-473C-BC16-6C605A9F16B7}"/>
    <cellStyle name="6" xfId="15" xr:uid="{3A1B3936-B028-4110-B20F-066C2CBE40E6}"/>
    <cellStyle name="6_Nghiem thu, quyet toan xe KMS 41" xfId="16" xr:uid="{0706B988-E4B3-4761-A42F-660FB7AF8C12}"/>
    <cellStyle name="6_Nghiem thu, quyet toan xe KMS 41 2" xfId="17" xr:uid="{0A2DA1A3-4287-4F86-A97F-AD784ADC1EC4}"/>
    <cellStyle name="ÅëÈ­ [0]_      " xfId="18" xr:uid="{2B11633B-E4A4-4CF5-9454-EE3669CFEAE5}"/>
    <cellStyle name="AeE­ [0]_INQUIRY ¿µ¾÷AßAø " xfId="19" xr:uid="{CAD5E394-3D8C-4E23-8664-F3F7755C7399}"/>
    <cellStyle name="ÅëÈ­_      " xfId="20" xr:uid="{3560546B-93A4-457B-91B2-CC3C9935CF89}"/>
    <cellStyle name="AeE­_INQUIRY ¿µ¾÷AßAø " xfId="21" xr:uid="{172770EF-F949-4125-9006-CDE68FC83ABF}"/>
    <cellStyle name="ÅëÈ­_Sheet1" xfId="22" xr:uid="{D547577C-40A4-4068-8DD7-F2E9496C0C3F}"/>
    <cellStyle name="ÄÞ¸¶ [0]_      " xfId="23" xr:uid="{1085DAA1-BAE6-4008-985B-31D04C735C66}"/>
    <cellStyle name="AÞ¸¶ [0]_INQUIRY ¿?¾÷AßAø " xfId="24" xr:uid="{3D1782F6-D870-4F62-A3C8-484DAD6FA159}"/>
    <cellStyle name="ÄÞ¸¶ [0]_Sheet1" xfId="25" xr:uid="{7123D41E-4A26-418B-A099-FCE8A3D7B755}"/>
    <cellStyle name="ÄÞ¸¶_      " xfId="26" xr:uid="{DB9770FC-0626-48E7-AE3E-946CB7A5F6FE}"/>
    <cellStyle name="AÞ¸¶_INQUIRY ¿?¾÷AßAø " xfId="27" xr:uid="{13C08E17-55AF-4C2D-9FE2-1BDE38C41233}"/>
    <cellStyle name="ÄÞ¸¶_Sheet1" xfId="28" xr:uid="{5C867BAB-1ACE-48BE-92AF-E41D8AC70BA2}"/>
    <cellStyle name="Bangchu" xfId="29" xr:uid="{08B00C08-06D1-4A63-9B2E-300F91A940D8}"/>
    <cellStyle name="BDAD" xfId="30" xr:uid="{65933984-C101-4A09-A362-CAE184E5D0F1}"/>
    <cellStyle name="C?AØ_¿?¾÷CoE² " xfId="31" xr:uid="{37FBA043-75D2-496E-B7CB-0E7D8AE13B37}"/>
    <cellStyle name="Ç¥ÁØ_      " xfId="32" xr:uid="{8D936567-496A-4278-A8A5-309A9618238F}"/>
    <cellStyle name="C￥AØ_¿μ¾÷CoE² " xfId="33" xr:uid="{2D1503CC-AEAE-459E-A1C9-57C4FB068F80}"/>
    <cellStyle name="Ç¥ÁØ_±³°¢¼ö·®" xfId="34" xr:uid="{0F52A848-147B-46B0-9DF7-D797E825487D}"/>
    <cellStyle name="C￥AØ_≫c¾÷ºIº° AN°e " xfId="35" xr:uid="{DC5C730C-1A7E-4D40-80DB-839A407D1EA9}"/>
    <cellStyle name="Comma" xfId="1" builtinId="3"/>
    <cellStyle name="Comma 10 2 2" xfId="143" xr:uid="{CC2A2707-8167-4C4C-90A4-4CE78C1E4E71}"/>
    <cellStyle name="Comma 2" xfId="36" xr:uid="{36BE004B-3E0E-471E-B72A-E8F0580CC481}"/>
    <cellStyle name="Comma 2 2" xfId="37" xr:uid="{6D8A79CD-F487-4F4A-A801-F8F20B70564C}"/>
    <cellStyle name="Comma 2 3" xfId="38" xr:uid="{44CB6BAA-5F6E-454A-BB35-A22959DEFE67}"/>
    <cellStyle name="Comma 3" xfId="39" xr:uid="{A2E5EE22-68A3-44E3-95A4-7E453312BF6D}"/>
    <cellStyle name="Comma 4" xfId="2" xr:uid="{90A15438-03B1-448C-B40A-79A89DE29CD4}"/>
    <cellStyle name="Comma 6" xfId="40" xr:uid="{5B24829B-FAEF-4770-8335-D7E2A8B2B582}"/>
    <cellStyle name="Comma0" xfId="41" xr:uid="{784B15BE-9A60-4217-9E2C-1648756B54AD}"/>
    <cellStyle name="Currency0" xfId="42" xr:uid="{BED11803-EB61-44F2-9E4B-0343F4880C04}"/>
    <cellStyle name="Date" xfId="43" xr:uid="{EEF079EF-12E2-43BF-BF87-EA7415039477}"/>
    <cellStyle name="daude" xfId="44" xr:uid="{7DA0F0FB-4C19-4359-A707-098257559A06}"/>
    <cellStyle name="e" xfId="45" xr:uid="{C5D7BBD5-DD1C-4131-820F-B019DD9E4CD1}"/>
    <cellStyle name="f" xfId="46" xr:uid="{7A81489D-CAC5-49C2-BF5D-A3FCD78961A2}"/>
    <cellStyle name="Fixed" xfId="47" xr:uid="{F7032A73-009F-4C88-A000-6D8101519E29}"/>
    <cellStyle name="H" xfId="48" xr:uid="{61C44A01-F10E-4A29-9E92-AA0A8088ED4E}"/>
    <cellStyle name="H_Book1" xfId="49" xr:uid="{5D9760CA-E149-4494-B0C4-8824A4BA7F09}"/>
    <cellStyle name="H_Book1 2" xfId="50" xr:uid="{E05DD269-F1C0-4BBF-A46E-7F3A1E5D1CBC}"/>
    <cellStyle name="H_Book1_Nghiem thu, quyet toan xe KMS 41" xfId="51" xr:uid="{1EB100C4-C3A2-40E7-8C42-EC8387B513EA}"/>
    <cellStyle name="H_D-A-VU" xfId="52" xr:uid="{A7C5A5DC-AF0B-488B-ABC6-D7E9E53FC11C}"/>
    <cellStyle name="H_D-A-VU_Book1" xfId="53" xr:uid="{C9704FFA-AB4F-4B8B-BE8E-2104A6839F2D}"/>
    <cellStyle name="H_D-A-VU_Book1 2" xfId="54" xr:uid="{EF59970E-2BA3-45A5-AA6C-877703906F2C}"/>
    <cellStyle name="H_D-A-VU_Book1_Nghiem thu, quyet toan xe KMS 41" xfId="55" xr:uid="{26F097AA-82ED-4317-B1F3-B1A28D602B9A}"/>
    <cellStyle name="H_D-A-VU_KQ_ThangMangcap" xfId="56" xr:uid="{4DF24F9B-A088-4766-B29D-534DE668F410}"/>
    <cellStyle name="H_D-A-VU_KQ_ThangMangcap 2" xfId="57" xr:uid="{DA737465-C840-49BE-8530-E15F9C208A37}"/>
    <cellStyle name="H_D-A-VU_KQ_ThangMangcap_Nghiem thu, quyet toan xe KMS 41" xfId="58" xr:uid="{139BCF52-5DF6-4C26-8B6D-626B81B3FADB}"/>
    <cellStyle name="H_D-A-VU_Nghiem thu, quyet toan xe KMS 41" xfId="59" xr:uid="{2785E719-B95F-441F-8564-6B9BC174B254}"/>
    <cellStyle name="H_D-A-VU_Nghiem thu, quyet toan xe KMS 41 2" xfId="60" xr:uid="{26CA0972-1F59-44A9-8B21-0A13D2FD3C7E}"/>
    <cellStyle name="H_D-A-VU_Theo doi vat tu" xfId="61" xr:uid="{3FA9278C-F787-4EB5-B17F-406CE1D11667}"/>
    <cellStyle name="H_D-A-VU_Theo doi vat tu_Nghiem thu, quyet toan xe KMS 41" xfId="62" xr:uid="{1A635F54-7B88-4D26-8CB3-07B2A2F267D7}"/>
    <cellStyle name="H_D-A-VU_Theo doi vat tu_Nghiem thu, quyet toan xe KMS 41 2" xfId="63" xr:uid="{F4ACC557-519C-4F96-ACDF-6E37A7771ADC}"/>
    <cellStyle name="H_HSTHAU" xfId="64" xr:uid="{39440C87-6BB4-4F01-8945-BD482F0270F6}"/>
    <cellStyle name="H_HSTHAU_Book1" xfId="65" xr:uid="{F2540C9F-211F-47B5-9B87-5B74B5E6A142}"/>
    <cellStyle name="H_HSTHAU_Book1 2" xfId="66" xr:uid="{D49E0A23-577C-4741-9BBF-5426EC6A00EB}"/>
    <cellStyle name="H_HSTHAU_Book1_Nghiem thu, quyet toan xe KMS 41" xfId="67" xr:uid="{0EC902EE-FD79-4DC7-BA30-48D7979C64E1}"/>
    <cellStyle name="H_HSTHAU_KQ_ThangMangcap" xfId="68" xr:uid="{26727824-3E3F-4E5D-82C5-593439CA4770}"/>
    <cellStyle name="H_HSTHAU_KQ_ThangMangcap 2" xfId="69" xr:uid="{8D665F0D-FAD3-43DD-AF3A-EB070805B36B}"/>
    <cellStyle name="H_HSTHAU_KQ_ThangMangcap_Nghiem thu, quyet toan xe KMS 41" xfId="70" xr:uid="{41FC17BC-5745-45C5-91E9-EAC27740BD8C}"/>
    <cellStyle name="H_HSTHAU_Nghiem thu, quyet toan xe KMS 41" xfId="71" xr:uid="{68AF52E4-37DC-49C1-877C-ECA81D759167}"/>
    <cellStyle name="H_HSTHAU_Nghiem thu, quyet toan xe KMS 41 2" xfId="72" xr:uid="{A025EF18-B634-4A13-8C2D-F8AF2F350EA9}"/>
    <cellStyle name="H_HSTHAU_Theo doi vat tu" xfId="73" xr:uid="{A13D892B-057E-4C7D-8F5C-7CC9D0B3AA10}"/>
    <cellStyle name="H_HSTHAU_Theo doi vat tu_Nghiem thu, quyet toan xe KMS 41" xfId="74" xr:uid="{29CD60FB-7773-4C08-807A-4FA84956C4A7}"/>
    <cellStyle name="H_HSTHAU_Theo doi vat tu_Nghiem thu, quyet toan xe KMS 41 2" xfId="75" xr:uid="{1C19F73B-F90D-419E-AAA5-1A09A3AEE497}"/>
    <cellStyle name="H_KQ_ThangMangcap" xfId="76" xr:uid="{FB687C45-22AB-41EC-907D-BDAA7C731E4E}"/>
    <cellStyle name="H_KQ_ThangMangcap 2" xfId="77" xr:uid="{A809C57B-43E1-46DB-93BC-D32BC1D2848B}"/>
    <cellStyle name="H_KQ_ThangMangcap_Nghiem thu, quyet toan xe KMS 41" xfId="78" xr:uid="{B5DC2C80-A04B-4AA2-A64C-B22B08A93F63}"/>
    <cellStyle name="H_Nghiem thu, quyet toan xe KMS 41" xfId="79" xr:uid="{55D7271D-28AF-4768-8284-73E1257B7EAB}"/>
    <cellStyle name="H_Nghiem thu, quyet toan xe KMS 41 2" xfId="80" xr:uid="{75701640-C927-493A-854E-2678886185A3}"/>
    <cellStyle name="H_Theo doi vat tu" xfId="81" xr:uid="{6AC6505D-4BF1-4F6D-BE50-1E2836588D50}"/>
    <cellStyle name="H_Theo doi vat tu_Nghiem thu, quyet toan xe KMS 41" xfId="82" xr:uid="{5330EC98-6ADF-4FA2-A4AB-7CD5C5C70372}"/>
    <cellStyle name="H_Theo doi vat tu_Nghiem thu, quyet toan xe KMS 41 2" xfId="83" xr:uid="{0763102D-FED6-456A-BA94-D79BD71879FF}"/>
    <cellStyle name="ha" xfId="84" xr:uid="{8DB1B4F4-9016-4A44-BD17-5E99B50F1AB6}"/>
    <cellStyle name="ha 2" xfId="85" xr:uid="{CD6B7DB1-2B64-4FCB-801A-B626F4F0CEA6}"/>
    <cellStyle name="Header1" xfId="86" xr:uid="{BE74E9E6-B110-40FC-A698-0A5231A48D36}"/>
    <cellStyle name="Header2" xfId="87" xr:uid="{B7E52995-8E92-40A5-B6AA-41588F8AC935}"/>
    <cellStyle name="moi" xfId="88" xr:uid="{88C646F3-3F5F-494A-854A-91860BB9FE83}"/>
    <cellStyle name="moi 2" xfId="89" xr:uid="{C3B1A70C-95FA-44A8-927F-ED78D1C8CD28}"/>
    <cellStyle name="n" xfId="90" xr:uid="{6B3E19FE-E100-4539-990A-3B794F535326}"/>
    <cellStyle name="Normal" xfId="0" builtinId="0"/>
    <cellStyle name="Normal - Style1" xfId="91" xr:uid="{5A68EABA-26B4-4EE6-A0B9-CC8E3B7B35DA}"/>
    <cellStyle name="Normal 2" xfId="92" xr:uid="{D8D0E815-6FC2-4358-9D98-9F7C3FA93964}"/>
    <cellStyle name="Normal 2 10" xfId="93" xr:uid="{3EBD9691-9B38-4CEF-871A-EEE2D612D0D6}"/>
    <cellStyle name="Normal 2 2" xfId="94" xr:uid="{B3750A0C-0014-434D-B485-8843FAF4BFC5}"/>
    <cellStyle name="Normal 3 2 2" xfId="95" xr:uid="{8913DA87-8A8D-4911-ADF6-716FDE11066E}"/>
    <cellStyle name="Normal 3_DT buoc 1 xe 773E số 1 (01-04)chuan" xfId="96" xr:uid="{C1F0F417-5670-4A7E-8484-BCA8699F106E}"/>
    <cellStyle name="Normal 6 3 2" xfId="97" xr:uid="{99E94AC3-738D-4806-BC29-5CDD214FADB3}"/>
    <cellStyle name="Œ…‹æØ‚è [0.00]_laroux" xfId="98" xr:uid="{C5955154-C583-447E-AA50-1BDD28A488C0}"/>
    <cellStyle name="Œ…‹æØ‚è_laroux" xfId="99" xr:uid="{9E81DF9E-7348-4CBB-9774-66B4AEFBCB0A}"/>
    <cellStyle name="oft Excel]_x000d__x000a_Comment=The open=/f lines load custom functions into the Paste Function list._x000d__x000a_Maximized=2_x000d__x000a_Basics=1_x000d__x000a_A" xfId="100" xr:uid="{4101B8CF-6BE4-4C32-A75B-D2A904BFCD98}"/>
    <cellStyle name="oft Excel]_x000d__x000a_Comment=The open=/f lines load custom functions into the Paste Function list._x000d__x000a_Maximized=3_x000d__x000a_Basics=1_x000d__x000a_A" xfId="101" xr:uid="{BF98E04C-D66F-44D4-B7FE-3ADD1A7CCE3F}"/>
    <cellStyle name="oft Excel]_x000d__x000a_Comment=The open=/f lines load custom functions into the Paste Function list._x000d__x000a_Maximized=3_x000d__x000a_Basics=1_x000d__x000a_A 2" xfId="102" xr:uid="{68DA0005-D914-42DE-84D4-CABFE528C6B2}"/>
    <cellStyle name="s]_x000d__x000a_spooler=yes_x000d__x000a_load=_x000d__x000a_Beep=yes_x000d__x000a_NullPort=None_x000d__x000a_BorderWidth=3_x000d__x000a_CursorBlinkRate=1200_x000d__x000a_DoubleClickSpeed=452_x000d__x000a_Programs=co" xfId="103" xr:uid="{1DE1362E-79D1-4FD1-8821-5868F6978D56}"/>
    <cellStyle name="s]_x000d__x000a_spooler=yes_x000d__x000a_load=_x000d__x000a_Beep=yes_x000d__x000a_NullPort=None_x000d__x000a_BorderWidth=3_x000d__x000a_CursorBlinkRate=1200_x000d__x000a_DoubleClickSpeed=452_x000d__x000a_Programs=co 2" xfId="104" xr:uid="{9DFBA854-7E52-40C5-B083-56CD3D580E4F}"/>
    <cellStyle name="Style 1" xfId="105" xr:uid="{61FDFEAE-C2A8-4413-9E5E-DA78CEE12538}"/>
    <cellStyle name="T" xfId="106" xr:uid="{AF3F2E4C-48AC-4C3E-9C36-B852A0C3C07A}"/>
    <cellStyle name="T_Book1" xfId="107" xr:uid="{40C1FAC3-0149-4EA1-9FBA-2788EFCEF6B5}"/>
    <cellStyle name="T_Book1 2" xfId="108" xr:uid="{E740BA3B-23EB-4C05-91A3-B66DE8F76E1F}"/>
    <cellStyle name="T_Book1_Nghiem thu, quyet toan xe KMS 41" xfId="109" xr:uid="{654B4C1B-87DE-4073-AFCD-4AEB52C26405}"/>
    <cellStyle name="T_Nghiem thu, quyet toan xe KMS 41" xfId="110" xr:uid="{A531716D-66F4-4681-BFAF-41B4EF4DF796}"/>
    <cellStyle name="T_Nghiem thu, quyet toan xe KMS 41 2" xfId="111" xr:uid="{7C284E41-46EE-4FB7-8663-4892EF3B2E7E}"/>
    <cellStyle name="T_TdoiTT" xfId="112" xr:uid="{ECA86BBD-340A-42E7-9C21-EBCD39820837}"/>
    <cellStyle name="T_TdoiTT 2" xfId="113" xr:uid="{466345E8-6199-4202-A080-508A37E32E46}"/>
    <cellStyle name="T_TdoiTT_Nghiem thu, quyet toan xe KMS 41" xfId="114" xr:uid="{0A914B10-9E10-4F1D-A827-0DE8320094A9}"/>
    <cellStyle name="th" xfId="115" xr:uid="{0756BA02-2BA1-4420-8B3E-8BB5C68403A4}"/>
    <cellStyle name="þ_x001d_ð·_x000c_æþ'_x000d_ßþU_x0001_Ø_x0005_ü_x0014__x0007__x0001__x0001_" xfId="116" xr:uid="{F026356E-03D1-4CEF-B456-485AF3192F46}"/>
    <cellStyle name="viet" xfId="117" xr:uid="{4ECC33FE-440E-486C-86C1-37ED5A939947}"/>
    <cellStyle name="viet2" xfId="118" xr:uid="{B1480A2A-54CC-4598-BA87-440486B67481}"/>
    <cellStyle name="xuan" xfId="119" xr:uid="{59C68D3E-C573-4FCB-8FE9-A2207194CCDE}"/>
    <cellStyle name=" [0.00]_ Att. 1- Cover" xfId="120" xr:uid="{CBB2B579-D3E4-47B8-8DDA-8A43D86B0F9F}"/>
    <cellStyle name="_ Att. 1- Cover" xfId="121" xr:uid="{5EE7F88A-47F1-45AB-B44C-0CC48559B6D7}"/>
    <cellStyle name="?_ Att. 1- Cover" xfId="122" xr:uid="{5CFB55FB-1515-4566-810D-695350C1849E}"/>
    <cellStyle name="똿뗦먛귟 [0.00]_PRODUCT DETAIL Q1" xfId="123" xr:uid="{80DFE228-4101-4F1E-B703-B5625BFF95E6}"/>
    <cellStyle name="똿뗦먛귟_PRODUCT DETAIL Q1" xfId="124" xr:uid="{BD3A431D-A893-425C-9800-1089EEAA2690}"/>
    <cellStyle name="믅됞 [0.00]_PRODUCT DETAIL Q1" xfId="125" xr:uid="{7D4DE8E9-738C-4BE5-A6F8-C04821FAC4A0}"/>
    <cellStyle name="믅됞_PRODUCT DETAIL Q1" xfId="126" xr:uid="{44E206CB-0A4B-4380-A26E-0393A9BBF2DA}"/>
    <cellStyle name="백분율_95" xfId="127" xr:uid="{908D4539-CE2F-4E8A-8424-BF02F28D9364}"/>
    <cellStyle name="뷭?_BOOKSHIP" xfId="128" xr:uid="{D01ED54B-BB0E-417A-9F70-EBDF4FBA92E3}"/>
    <cellStyle name="콤마 [0]_1202" xfId="129" xr:uid="{269CC144-A376-4278-91B7-8D0F9D5701CB}"/>
    <cellStyle name="콤마_1202" xfId="130" xr:uid="{6FA373E0-EB17-4007-B61A-4257F3529516}"/>
    <cellStyle name="통화 [0]_1202" xfId="131" xr:uid="{C67AF78B-9E32-40DB-BF96-40A53B77DC43}"/>
    <cellStyle name="통화_1202" xfId="132" xr:uid="{BC832E1F-7DDD-451E-A8AB-53E7993E49A5}"/>
    <cellStyle name="표준_(정보부문)월별인원계획" xfId="133" xr:uid="{ABFE2C21-0A7A-4065-A776-8A258D2E2135}"/>
    <cellStyle name="一般_00Q3902REV.1" xfId="134" xr:uid="{D779C58C-BC8F-4049-A0F1-931C734E6DC0}"/>
    <cellStyle name="千分位[0]_00Q3902REV.1" xfId="135" xr:uid="{0CEB927A-F139-4A98-B5BC-8A578904CB0C}"/>
    <cellStyle name="千分位_00Q3902REV.1" xfId="136" xr:uid="{4BF02E89-0295-490C-9629-6FD3BC1F6C22}"/>
    <cellStyle name="桁区切り [0.00]_Acummulation.final" xfId="137" xr:uid="{90F1125A-9A40-44BF-A9D9-3E7733A93586}"/>
    <cellStyle name="桁区切り_工費" xfId="138" xr:uid="{3EE0DFE2-D223-43F4-B88C-517AFE734C87}"/>
    <cellStyle name="標準_2110-5" xfId="139" xr:uid="{1D68D6DC-3970-4473-AD24-A0312CD67EAF}"/>
    <cellStyle name="貨幣 [0]_00Q3902REV.1" xfId="140" xr:uid="{34E612D7-22D6-4896-B025-A839F17C0033}"/>
    <cellStyle name="貨幣[0]_BRE" xfId="141" xr:uid="{43014467-0CD7-487D-9689-01A746651073}"/>
    <cellStyle name="貨幣_00Q3902REV.1" xfId="142" xr:uid="{5EF58C1F-07AE-46F1-B247-75AD243589C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view="pageBreakPreview" zoomScale="70" zoomScaleNormal="85" zoomScaleSheetLayoutView="70" workbookViewId="0">
      <selection activeCell="J13" sqref="J13"/>
    </sheetView>
  </sheetViews>
  <sheetFormatPr defaultColWidth="9.140625" defaultRowHeight="15.75"/>
  <cols>
    <col min="1" max="1" width="6.28515625" style="2" customWidth="1"/>
    <col min="2" max="2" width="23.7109375" style="16" customWidth="1"/>
    <col min="3" max="3" width="22.140625" style="16" customWidth="1"/>
    <col min="4" max="4" width="7.28515625" style="2" customWidth="1"/>
    <col min="5" max="5" width="8.7109375" style="16" customWidth="1"/>
    <col min="6" max="6" width="14" style="16" customWidth="1"/>
    <col min="7" max="7" width="17.42578125" style="16" customWidth="1"/>
    <col min="8" max="8" width="15" style="16" customWidth="1"/>
    <col min="9" max="9" width="17.42578125" style="16" customWidth="1"/>
    <col min="10" max="10" width="12" style="16" customWidth="1"/>
    <col min="11" max="11" width="13.7109375" style="16" customWidth="1"/>
    <col min="12" max="12" width="17" style="16" customWidth="1"/>
    <col min="13" max="13" width="12.42578125" style="16" customWidth="1"/>
    <col min="14" max="14" width="15" style="16" customWidth="1"/>
    <col min="15" max="15" width="16.7109375" style="16" customWidth="1"/>
    <col min="16" max="16" width="16" style="16" customWidth="1"/>
    <col min="17" max="17" width="13.7109375" style="16" customWidth="1"/>
    <col min="18" max="18" width="18.140625" style="16" customWidth="1"/>
    <col min="19" max="19" width="13.140625" style="16" customWidth="1"/>
    <col min="20" max="20" width="17.85546875" style="16" customWidth="1"/>
    <col min="21" max="21" width="27.28515625" style="16" customWidth="1"/>
    <col min="22" max="16384" width="9.140625" style="16"/>
  </cols>
  <sheetData>
    <row r="1" spans="1:20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20" ht="30.75" customHeight="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20" s="7" customFormat="1" ht="22.5" customHeight="1">
      <c r="A3" s="41" t="s">
        <v>2</v>
      </c>
      <c r="B3" s="41" t="s">
        <v>3</v>
      </c>
      <c r="C3" s="41" t="s">
        <v>4</v>
      </c>
      <c r="D3" s="41" t="s">
        <v>5</v>
      </c>
      <c r="E3" s="44" t="s">
        <v>6</v>
      </c>
      <c r="F3" s="41" t="s">
        <v>7</v>
      </c>
      <c r="G3" s="41"/>
      <c r="H3" s="41" t="s">
        <v>11</v>
      </c>
      <c r="I3" s="41"/>
      <c r="J3" s="41"/>
      <c r="K3" s="41"/>
      <c r="L3" s="41"/>
      <c r="M3" s="41"/>
      <c r="N3" s="41"/>
      <c r="O3" s="41"/>
      <c r="P3" s="41"/>
      <c r="Q3" s="41" t="s">
        <v>15</v>
      </c>
      <c r="R3" s="41"/>
      <c r="S3" s="41"/>
    </row>
    <row r="4" spans="1:20" s="7" customFormat="1" ht="48" customHeight="1">
      <c r="A4" s="41"/>
      <c r="B4" s="41"/>
      <c r="C4" s="41"/>
      <c r="D4" s="41"/>
      <c r="E4" s="44"/>
      <c r="F4" s="41" t="s">
        <v>9</v>
      </c>
      <c r="G4" s="41" t="s">
        <v>8</v>
      </c>
      <c r="H4" s="45" t="s">
        <v>110</v>
      </c>
      <c r="I4" s="45"/>
      <c r="J4" s="45"/>
      <c r="K4" s="45" t="s">
        <v>111</v>
      </c>
      <c r="L4" s="45"/>
      <c r="M4" s="45"/>
      <c r="N4" s="45" t="s">
        <v>112</v>
      </c>
      <c r="O4" s="45"/>
      <c r="P4" s="45"/>
      <c r="Q4" s="45" t="str">
        <f>H4</f>
        <v>Công ty Thành Long</v>
      </c>
      <c r="R4" s="45"/>
      <c r="S4" s="45"/>
    </row>
    <row r="5" spans="1:20" s="7" customFormat="1" ht="21" customHeight="1">
      <c r="A5" s="41"/>
      <c r="B5" s="41"/>
      <c r="C5" s="41"/>
      <c r="D5" s="41"/>
      <c r="E5" s="44"/>
      <c r="F5" s="41"/>
      <c r="G5" s="41"/>
      <c r="H5" s="6" t="s">
        <v>9</v>
      </c>
      <c r="I5" s="6" t="s">
        <v>8</v>
      </c>
      <c r="J5" s="6" t="s">
        <v>10</v>
      </c>
      <c r="K5" s="6" t="s">
        <v>9</v>
      </c>
      <c r="L5" s="6" t="s">
        <v>8</v>
      </c>
      <c r="M5" s="6" t="s">
        <v>10</v>
      </c>
      <c r="N5" s="6" t="s">
        <v>9</v>
      </c>
      <c r="O5" s="6" t="s">
        <v>8</v>
      </c>
      <c r="P5" s="6" t="s">
        <v>10</v>
      </c>
      <c r="Q5" s="6" t="s">
        <v>9</v>
      </c>
      <c r="R5" s="6" t="s">
        <v>8</v>
      </c>
      <c r="S5" s="6" t="s">
        <v>10</v>
      </c>
    </row>
    <row r="6" spans="1:20" s="17" customFormat="1" ht="24.75" customHeight="1">
      <c r="A6" s="6" t="s">
        <v>16</v>
      </c>
      <c r="B6" s="8" t="s">
        <v>45</v>
      </c>
      <c r="C6" s="8"/>
      <c r="D6" s="6"/>
      <c r="E6" s="8"/>
      <c r="F6" s="9"/>
      <c r="G6" s="9">
        <f>SUM(G7:G31)</f>
        <v>3507482960</v>
      </c>
      <c r="H6" s="9"/>
      <c r="I6" s="9">
        <f>SUM(I7:I31)</f>
        <v>3713429904</v>
      </c>
      <c r="J6" s="28"/>
      <c r="K6" s="9"/>
      <c r="L6" s="9">
        <f>SUM(L7:L31)</f>
        <v>3825103320</v>
      </c>
      <c r="M6" s="28"/>
      <c r="N6" s="9"/>
      <c r="O6" s="9">
        <f>SUM(O7:O31)</f>
        <v>3759249560</v>
      </c>
      <c r="P6" s="9"/>
      <c r="Q6" s="9"/>
      <c r="R6" s="9">
        <f>SUM(R7:R11)</f>
        <v>3331686000</v>
      </c>
      <c r="S6" s="9"/>
    </row>
    <row r="7" spans="1:20" s="17" customFormat="1" ht="33">
      <c r="A7" s="3">
        <v>1</v>
      </c>
      <c r="B7" s="54" t="s">
        <v>63</v>
      </c>
      <c r="C7" s="55" t="s">
        <v>64</v>
      </c>
      <c r="D7" s="56" t="s">
        <v>104</v>
      </c>
      <c r="E7" s="57">
        <v>2</v>
      </c>
      <c r="F7" s="58">
        <v>668000000</v>
      </c>
      <c r="G7" s="59">
        <f>F7*E7</f>
        <v>1336000000</v>
      </c>
      <c r="H7" s="46">
        <f>1.06*668000000</f>
        <v>708080000</v>
      </c>
      <c r="I7" s="60">
        <f>H7*E7</f>
        <v>1416160000</v>
      </c>
      <c r="J7" s="61" t="s">
        <v>42</v>
      </c>
      <c r="K7" s="71">
        <v>724150000</v>
      </c>
      <c r="L7" s="60">
        <f>K7*E7</f>
        <v>1448300000</v>
      </c>
      <c r="M7" s="61" t="s">
        <v>42</v>
      </c>
      <c r="N7" s="72">
        <v>715500000</v>
      </c>
      <c r="O7" s="60">
        <f>N7*E7</f>
        <v>1431000000</v>
      </c>
      <c r="P7" s="61" t="s">
        <v>42</v>
      </c>
      <c r="Q7" s="62">
        <f>H7</f>
        <v>708080000</v>
      </c>
      <c r="R7" s="62">
        <f>I7</f>
        <v>1416160000</v>
      </c>
      <c r="S7" s="61" t="str">
        <f>J7</f>
        <v>Việt Nam</v>
      </c>
      <c r="T7" s="21"/>
    </row>
    <row r="8" spans="1:20" s="17" customFormat="1" ht="16.5">
      <c r="A8" s="3">
        <v>2</v>
      </c>
      <c r="B8" s="54" t="s">
        <v>65</v>
      </c>
      <c r="C8" s="55" t="s">
        <v>66</v>
      </c>
      <c r="D8" s="56" t="s">
        <v>105</v>
      </c>
      <c r="E8" s="57">
        <v>4</v>
      </c>
      <c r="F8" s="58">
        <v>1700000</v>
      </c>
      <c r="G8" s="59">
        <f t="shared" ref="G8:G31" si="0">F8*E8</f>
        <v>6800000</v>
      </c>
      <c r="H8" s="46">
        <f>1.06*1700000</f>
        <v>1802000</v>
      </c>
      <c r="I8" s="60">
        <f t="shared" ref="I8:I31" si="1">H8*E8</f>
        <v>7208000</v>
      </c>
      <c r="J8" s="61" t="s">
        <v>117</v>
      </c>
      <c r="K8" s="71">
        <v>2410000</v>
      </c>
      <c r="L8" s="60">
        <f t="shared" ref="L8:L31" si="2">K8*E8</f>
        <v>9640000</v>
      </c>
      <c r="M8" s="61" t="s">
        <v>114</v>
      </c>
      <c r="N8" s="72">
        <v>1800000</v>
      </c>
      <c r="O8" s="60">
        <f t="shared" ref="O8:O31" si="3">N8*E8</f>
        <v>7200000</v>
      </c>
      <c r="P8" s="61" t="s">
        <v>115</v>
      </c>
      <c r="Q8" s="62">
        <f t="shared" ref="Q8:Q31" si="4">H8</f>
        <v>1802000</v>
      </c>
      <c r="R8" s="62">
        <f t="shared" ref="R8:R31" si="5">I8</f>
        <v>7208000</v>
      </c>
      <c r="S8" s="61" t="str">
        <f t="shared" ref="S8:S31" si="6">J8</f>
        <v>India</v>
      </c>
      <c r="T8" s="21"/>
    </row>
    <row r="9" spans="1:20" s="17" customFormat="1" ht="33">
      <c r="A9" s="3">
        <v>3</v>
      </c>
      <c r="B9" s="54" t="s">
        <v>67</v>
      </c>
      <c r="C9" s="55" t="s">
        <v>68</v>
      </c>
      <c r="D9" s="56" t="s">
        <v>104</v>
      </c>
      <c r="E9" s="57">
        <v>2</v>
      </c>
      <c r="F9" s="58">
        <v>2650000</v>
      </c>
      <c r="G9" s="59">
        <f t="shared" si="0"/>
        <v>5300000</v>
      </c>
      <c r="H9" s="46">
        <f>1.06*2650000</f>
        <v>2809000</v>
      </c>
      <c r="I9" s="60">
        <f t="shared" si="1"/>
        <v>5618000</v>
      </c>
      <c r="J9" s="61" t="s">
        <v>42</v>
      </c>
      <c r="K9" s="71">
        <v>3800000</v>
      </c>
      <c r="L9" s="60">
        <f t="shared" si="2"/>
        <v>7600000</v>
      </c>
      <c r="M9" s="61" t="s">
        <v>42</v>
      </c>
      <c r="N9" s="72">
        <v>3000000</v>
      </c>
      <c r="O9" s="60">
        <f t="shared" si="3"/>
        <v>6000000</v>
      </c>
      <c r="P9" s="61" t="s">
        <v>42</v>
      </c>
      <c r="Q9" s="62">
        <f t="shared" si="4"/>
        <v>2809000</v>
      </c>
      <c r="R9" s="62">
        <f t="shared" si="5"/>
        <v>5618000</v>
      </c>
      <c r="S9" s="61" t="str">
        <f t="shared" si="6"/>
        <v>Việt Nam</v>
      </c>
      <c r="T9" s="21"/>
    </row>
    <row r="10" spans="1:20" s="17" customFormat="1" ht="16.5">
      <c r="A10" s="3">
        <v>4</v>
      </c>
      <c r="B10" s="54" t="s">
        <v>69</v>
      </c>
      <c r="C10" s="55" t="s">
        <v>70</v>
      </c>
      <c r="D10" s="56" t="s">
        <v>104</v>
      </c>
      <c r="E10" s="57">
        <v>2</v>
      </c>
      <c r="F10" s="58">
        <v>22500000</v>
      </c>
      <c r="G10" s="59">
        <f t="shared" si="0"/>
        <v>45000000</v>
      </c>
      <c r="H10" s="46">
        <f>1.06*22500000</f>
        <v>23850000</v>
      </c>
      <c r="I10" s="60">
        <f t="shared" si="1"/>
        <v>47700000</v>
      </c>
      <c r="J10" s="61" t="s">
        <v>42</v>
      </c>
      <c r="K10" s="71">
        <v>27400000</v>
      </c>
      <c r="L10" s="60">
        <f t="shared" si="2"/>
        <v>54800000</v>
      </c>
      <c r="M10" s="61" t="s">
        <v>42</v>
      </c>
      <c r="N10" s="72">
        <v>23700000</v>
      </c>
      <c r="O10" s="60">
        <f t="shared" si="3"/>
        <v>47400000</v>
      </c>
      <c r="P10" s="61" t="s">
        <v>42</v>
      </c>
      <c r="Q10" s="62">
        <f t="shared" si="4"/>
        <v>23850000</v>
      </c>
      <c r="R10" s="62">
        <f t="shared" si="5"/>
        <v>47700000</v>
      </c>
      <c r="S10" s="61" t="str">
        <f t="shared" si="6"/>
        <v>Việt Nam</v>
      </c>
      <c r="T10" s="21"/>
    </row>
    <row r="11" spans="1:20" s="17" customFormat="1" ht="33">
      <c r="A11" s="3">
        <v>5</v>
      </c>
      <c r="B11" s="54" t="s">
        <v>71</v>
      </c>
      <c r="C11" s="55" t="s">
        <v>72</v>
      </c>
      <c r="D11" s="56" t="s">
        <v>106</v>
      </c>
      <c r="E11" s="57">
        <v>2</v>
      </c>
      <c r="F11" s="58">
        <v>875000000</v>
      </c>
      <c r="G11" s="59">
        <f t="shared" si="0"/>
        <v>1750000000</v>
      </c>
      <c r="H11" s="46">
        <f>1.06*875000000</f>
        <v>927500000</v>
      </c>
      <c r="I11" s="60">
        <f t="shared" si="1"/>
        <v>1855000000</v>
      </c>
      <c r="J11" s="61" t="s">
        <v>42</v>
      </c>
      <c r="K11" s="71">
        <v>942150000</v>
      </c>
      <c r="L11" s="60">
        <f t="shared" si="2"/>
        <v>1884300000</v>
      </c>
      <c r="M11" s="61" t="s">
        <v>42</v>
      </c>
      <c r="N11" s="72">
        <v>935350000</v>
      </c>
      <c r="O11" s="60">
        <f t="shared" si="3"/>
        <v>1870700000</v>
      </c>
      <c r="P11" s="61" t="s">
        <v>42</v>
      </c>
      <c r="Q11" s="62">
        <f t="shared" si="4"/>
        <v>927500000</v>
      </c>
      <c r="R11" s="62">
        <f t="shared" si="5"/>
        <v>1855000000</v>
      </c>
      <c r="S11" s="61" t="str">
        <f t="shared" si="6"/>
        <v>Việt Nam</v>
      </c>
      <c r="T11" s="21"/>
    </row>
    <row r="12" spans="1:20" s="17" customFormat="1" ht="33">
      <c r="A12" s="3">
        <v>6</v>
      </c>
      <c r="B12" s="54" t="s">
        <v>73</v>
      </c>
      <c r="C12" s="55" t="s">
        <v>74</v>
      </c>
      <c r="D12" s="56" t="s">
        <v>104</v>
      </c>
      <c r="E12" s="57">
        <v>2</v>
      </c>
      <c r="F12" s="58">
        <v>142000000</v>
      </c>
      <c r="G12" s="59">
        <f t="shared" si="0"/>
        <v>284000000</v>
      </c>
      <c r="H12" s="46">
        <f>1.06*142000000</f>
        <v>150520000</v>
      </c>
      <c r="I12" s="60">
        <f t="shared" si="1"/>
        <v>301040000</v>
      </c>
      <c r="J12" s="61" t="s">
        <v>42</v>
      </c>
      <c r="K12" s="71">
        <v>159000000</v>
      </c>
      <c r="L12" s="60">
        <f t="shared" si="2"/>
        <v>318000000</v>
      </c>
      <c r="M12" s="61" t="s">
        <v>42</v>
      </c>
      <c r="N12" s="72">
        <v>156500000</v>
      </c>
      <c r="O12" s="60">
        <f>N12*E12</f>
        <v>313000000</v>
      </c>
      <c r="P12" s="61" t="s">
        <v>42</v>
      </c>
      <c r="Q12" s="62">
        <f t="shared" si="4"/>
        <v>150520000</v>
      </c>
      <c r="R12" s="62">
        <f t="shared" si="5"/>
        <v>301040000</v>
      </c>
      <c r="S12" s="61" t="str">
        <f t="shared" si="6"/>
        <v>Việt Nam</v>
      </c>
      <c r="T12" s="21"/>
    </row>
    <row r="13" spans="1:20" s="17" customFormat="1" ht="33">
      <c r="A13" s="3">
        <v>7</v>
      </c>
      <c r="B13" s="54" t="s">
        <v>75</v>
      </c>
      <c r="C13" s="55" t="s">
        <v>76</v>
      </c>
      <c r="D13" s="56" t="s">
        <v>104</v>
      </c>
      <c r="E13" s="57">
        <v>2</v>
      </c>
      <c r="F13" s="58">
        <v>22000000</v>
      </c>
      <c r="G13" s="59">
        <f t="shared" si="0"/>
        <v>44000000</v>
      </c>
      <c r="H13" s="46">
        <f>1.06*22000000</f>
        <v>23320000</v>
      </c>
      <c r="I13" s="60">
        <f t="shared" si="1"/>
        <v>46640000</v>
      </c>
      <c r="J13" s="61" t="s">
        <v>42</v>
      </c>
      <c r="K13" s="71">
        <v>30000000</v>
      </c>
      <c r="L13" s="60">
        <f t="shared" si="2"/>
        <v>60000000</v>
      </c>
      <c r="M13" s="61" t="s">
        <v>42</v>
      </c>
      <c r="N13" s="72">
        <v>24100000</v>
      </c>
      <c r="O13" s="60">
        <f t="shared" si="3"/>
        <v>48200000</v>
      </c>
      <c r="P13" s="61" t="s">
        <v>42</v>
      </c>
      <c r="Q13" s="62">
        <f t="shared" si="4"/>
        <v>23320000</v>
      </c>
      <c r="R13" s="62">
        <f t="shared" si="5"/>
        <v>46640000</v>
      </c>
      <c r="S13" s="61" t="str">
        <f t="shared" si="6"/>
        <v>Việt Nam</v>
      </c>
      <c r="T13" s="21"/>
    </row>
    <row r="14" spans="1:20" s="17" customFormat="1" ht="16.5">
      <c r="A14" s="3">
        <v>8</v>
      </c>
      <c r="B14" s="54" t="s">
        <v>77</v>
      </c>
      <c r="C14" s="56" t="s">
        <v>78</v>
      </c>
      <c r="D14" s="56" t="s">
        <v>21</v>
      </c>
      <c r="E14" s="57">
        <f>168*2</f>
        <v>336</v>
      </c>
      <c r="F14" s="58">
        <v>25500</v>
      </c>
      <c r="G14" s="59">
        <f t="shared" si="0"/>
        <v>8568000</v>
      </c>
      <c r="H14" s="47">
        <v>22300</v>
      </c>
      <c r="I14" s="60">
        <f t="shared" si="1"/>
        <v>7492800</v>
      </c>
      <c r="J14" s="61" t="s">
        <v>42</v>
      </c>
      <c r="K14" s="71">
        <v>30500</v>
      </c>
      <c r="L14" s="60">
        <f t="shared" si="2"/>
        <v>10248000</v>
      </c>
      <c r="M14" s="61" t="s">
        <v>42</v>
      </c>
      <c r="N14" s="72">
        <v>22000</v>
      </c>
      <c r="O14" s="60">
        <f t="shared" si="3"/>
        <v>7392000</v>
      </c>
      <c r="P14" s="61" t="s">
        <v>42</v>
      </c>
      <c r="Q14" s="62">
        <f t="shared" si="4"/>
        <v>22300</v>
      </c>
      <c r="R14" s="62">
        <f t="shared" si="5"/>
        <v>7492800</v>
      </c>
      <c r="S14" s="61" t="str">
        <f t="shared" si="6"/>
        <v>Việt Nam</v>
      </c>
      <c r="T14" s="21"/>
    </row>
    <row r="15" spans="1:20" s="17" customFormat="1" ht="16.5">
      <c r="A15" s="3">
        <v>9</v>
      </c>
      <c r="B15" s="54" t="s">
        <v>77</v>
      </c>
      <c r="C15" s="56" t="s">
        <v>79</v>
      </c>
      <c r="D15" s="56" t="s">
        <v>21</v>
      </c>
      <c r="E15" s="57">
        <f>45.6*2</f>
        <v>91.2</v>
      </c>
      <c r="F15" s="58">
        <v>26000</v>
      </c>
      <c r="G15" s="59">
        <f t="shared" si="0"/>
        <v>2371200</v>
      </c>
      <c r="H15" s="47">
        <v>22300</v>
      </c>
      <c r="I15" s="60">
        <f t="shared" si="1"/>
        <v>2033760</v>
      </c>
      <c r="J15" s="61" t="s">
        <v>42</v>
      </c>
      <c r="K15" s="71">
        <v>29000</v>
      </c>
      <c r="L15" s="60">
        <f t="shared" si="2"/>
        <v>2644800</v>
      </c>
      <c r="M15" s="61" t="s">
        <v>42</v>
      </c>
      <c r="N15" s="72">
        <v>22000</v>
      </c>
      <c r="O15" s="60">
        <f t="shared" si="3"/>
        <v>2006400</v>
      </c>
      <c r="P15" s="61" t="s">
        <v>42</v>
      </c>
      <c r="Q15" s="62">
        <f t="shared" si="4"/>
        <v>22300</v>
      </c>
      <c r="R15" s="62">
        <f t="shared" si="5"/>
        <v>2033760</v>
      </c>
      <c r="S15" s="61" t="str">
        <f t="shared" si="6"/>
        <v>Việt Nam</v>
      </c>
      <c r="T15" s="21"/>
    </row>
    <row r="16" spans="1:20" s="17" customFormat="1" ht="16.5">
      <c r="A16" s="3">
        <v>10</v>
      </c>
      <c r="B16" s="54" t="s">
        <v>77</v>
      </c>
      <c r="C16" s="56" t="s">
        <v>80</v>
      </c>
      <c r="D16" s="56" t="s">
        <v>21</v>
      </c>
      <c r="E16" s="57">
        <f>62.64*2</f>
        <v>125.28</v>
      </c>
      <c r="F16" s="58">
        <v>26166.666666666668</v>
      </c>
      <c r="G16" s="59">
        <f t="shared" si="0"/>
        <v>3278160</v>
      </c>
      <c r="H16" s="47">
        <v>22300</v>
      </c>
      <c r="I16" s="60">
        <f t="shared" si="1"/>
        <v>2793744</v>
      </c>
      <c r="J16" s="61" t="s">
        <v>42</v>
      </c>
      <c r="K16" s="71">
        <v>29000</v>
      </c>
      <c r="L16" s="60">
        <f t="shared" si="2"/>
        <v>3633120</v>
      </c>
      <c r="M16" s="61" t="s">
        <v>42</v>
      </c>
      <c r="N16" s="72">
        <v>22000</v>
      </c>
      <c r="O16" s="60">
        <f t="shared" si="3"/>
        <v>2756160</v>
      </c>
      <c r="P16" s="61" t="s">
        <v>42</v>
      </c>
      <c r="Q16" s="62">
        <f t="shared" si="4"/>
        <v>22300</v>
      </c>
      <c r="R16" s="62">
        <f t="shared" si="5"/>
        <v>2793744</v>
      </c>
      <c r="S16" s="61" t="str">
        <f t="shared" si="6"/>
        <v>Việt Nam</v>
      </c>
      <c r="T16" s="21"/>
    </row>
    <row r="17" spans="1:20" s="17" customFormat="1" ht="16.5">
      <c r="A17" s="3">
        <v>11</v>
      </c>
      <c r="B17" s="54" t="s">
        <v>81</v>
      </c>
      <c r="C17" s="56" t="s">
        <v>82</v>
      </c>
      <c r="D17" s="56" t="s">
        <v>21</v>
      </c>
      <c r="E17" s="57">
        <v>80</v>
      </c>
      <c r="F17" s="58">
        <v>24000</v>
      </c>
      <c r="G17" s="59">
        <f t="shared" si="0"/>
        <v>1920000</v>
      </c>
      <c r="H17" s="46">
        <v>20970</v>
      </c>
      <c r="I17" s="60">
        <f t="shared" si="1"/>
        <v>1677600</v>
      </c>
      <c r="J17" s="61" t="s">
        <v>42</v>
      </c>
      <c r="K17" s="71">
        <v>29500</v>
      </c>
      <c r="L17" s="60">
        <f t="shared" si="2"/>
        <v>2360000</v>
      </c>
      <c r="M17" s="61" t="s">
        <v>42</v>
      </c>
      <c r="N17" s="72">
        <v>21250</v>
      </c>
      <c r="O17" s="60">
        <f t="shared" si="3"/>
        <v>1700000</v>
      </c>
      <c r="P17" s="61" t="s">
        <v>42</v>
      </c>
      <c r="Q17" s="62">
        <f t="shared" si="4"/>
        <v>20970</v>
      </c>
      <c r="R17" s="62">
        <f t="shared" si="5"/>
        <v>1677600</v>
      </c>
      <c r="S17" s="61" t="str">
        <f t="shared" si="6"/>
        <v>Việt Nam</v>
      </c>
      <c r="T17" s="21"/>
    </row>
    <row r="18" spans="1:20" s="17" customFormat="1" ht="16.5">
      <c r="A18" s="3">
        <v>12</v>
      </c>
      <c r="B18" s="54" t="s">
        <v>83</v>
      </c>
      <c r="C18" s="56" t="s">
        <v>84</v>
      </c>
      <c r="D18" s="63" t="s">
        <v>106</v>
      </c>
      <c r="E18" s="57">
        <v>32</v>
      </c>
      <c r="F18" s="58">
        <v>7000</v>
      </c>
      <c r="G18" s="59">
        <f t="shared" si="0"/>
        <v>224000</v>
      </c>
      <c r="H18" s="46">
        <v>8000</v>
      </c>
      <c r="I18" s="60">
        <f t="shared" si="1"/>
        <v>256000</v>
      </c>
      <c r="J18" s="61" t="s">
        <v>42</v>
      </c>
      <c r="K18" s="71">
        <v>15000</v>
      </c>
      <c r="L18" s="60">
        <f>K18*E18</f>
        <v>480000</v>
      </c>
      <c r="M18" s="61" t="s">
        <v>42</v>
      </c>
      <c r="N18" s="72">
        <v>10000</v>
      </c>
      <c r="O18" s="60">
        <f>N18*E18</f>
        <v>320000</v>
      </c>
      <c r="P18" s="61" t="s">
        <v>42</v>
      </c>
      <c r="Q18" s="62">
        <f t="shared" si="4"/>
        <v>8000</v>
      </c>
      <c r="R18" s="62">
        <f t="shared" si="5"/>
        <v>256000</v>
      </c>
      <c r="S18" s="61" t="str">
        <f t="shared" si="6"/>
        <v>Việt Nam</v>
      </c>
      <c r="T18" s="21"/>
    </row>
    <row r="19" spans="1:20" s="17" customFormat="1" ht="16.5">
      <c r="A19" s="3">
        <v>13</v>
      </c>
      <c r="B19" s="54" t="s">
        <v>85</v>
      </c>
      <c r="C19" s="64" t="s">
        <v>86</v>
      </c>
      <c r="D19" s="65" t="s">
        <v>21</v>
      </c>
      <c r="E19" s="57">
        <v>10</v>
      </c>
      <c r="F19" s="58">
        <v>30000</v>
      </c>
      <c r="G19" s="59">
        <f t="shared" si="0"/>
        <v>300000</v>
      </c>
      <c r="H19" s="48">
        <v>33000</v>
      </c>
      <c r="I19" s="60">
        <f t="shared" si="1"/>
        <v>330000</v>
      </c>
      <c r="J19" s="61" t="s">
        <v>42</v>
      </c>
      <c r="K19" s="71">
        <v>38000</v>
      </c>
      <c r="L19" s="60">
        <f t="shared" si="2"/>
        <v>380000</v>
      </c>
      <c r="M19" s="61" t="s">
        <v>42</v>
      </c>
      <c r="N19" s="72">
        <v>32200</v>
      </c>
      <c r="O19" s="60">
        <f t="shared" si="3"/>
        <v>322000</v>
      </c>
      <c r="P19" s="61" t="s">
        <v>42</v>
      </c>
      <c r="Q19" s="62">
        <f t="shared" si="4"/>
        <v>33000</v>
      </c>
      <c r="R19" s="62">
        <f t="shared" si="5"/>
        <v>330000</v>
      </c>
      <c r="S19" s="61" t="str">
        <f t="shared" si="6"/>
        <v>Việt Nam</v>
      </c>
      <c r="T19" s="21"/>
    </row>
    <row r="20" spans="1:20" s="17" customFormat="1" ht="16.5">
      <c r="A20" s="3">
        <v>14</v>
      </c>
      <c r="B20" s="54" t="s">
        <v>87</v>
      </c>
      <c r="C20" s="64" t="s">
        <v>86</v>
      </c>
      <c r="D20" s="65" t="s">
        <v>21</v>
      </c>
      <c r="E20" s="57">
        <v>6</v>
      </c>
      <c r="F20" s="58">
        <v>160000</v>
      </c>
      <c r="G20" s="59">
        <f t="shared" si="0"/>
        <v>960000</v>
      </c>
      <c r="H20" s="46">
        <v>165000</v>
      </c>
      <c r="I20" s="60">
        <f t="shared" si="1"/>
        <v>990000</v>
      </c>
      <c r="J20" s="61" t="s">
        <v>42</v>
      </c>
      <c r="K20" s="71">
        <v>215000</v>
      </c>
      <c r="L20" s="60">
        <f t="shared" si="2"/>
        <v>1290000</v>
      </c>
      <c r="M20" s="61" t="s">
        <v>42</v>
      </c>
      <c r="N20" s="72">
        <v>250000</v>
      </c>
      <c r="O20" s="60">
        <f t="shared" si="3"/>
        <v>1500000</v>
      </c>
      <c r="P20" s="61" t="s">
        <v>42</v>
      </c>
      <c r="Q20" s="62">
        <f t="shared" si="4"/>
        <v>165000</v>
      </c>
      <c r="R20" s="62">
        <f t="shared" si="5"/>
        <v>990000</v>
      </c>
      <c r="S20" s="61" t="str">
        <f t="shared" si="6"/>
        <v>Việt Nam</v>
      </c>
      <c r="T20" s="21"/>
    </row>
    <row r="21" spans="1:20" s="17" customFormat="1" ht="16.5">
      <c r="A21" s="3">
        <v>15</v>
      </c>
      <c r="B21" s="66" t="s">
        <v>118</v>
      </c>
      <c r="C21" s="63" t="s">
        <v>119</v>
      </c>
      <c r="D21" s="65" t="s">
        <v>21</v>
      </c>
      <c r="E21" s="57">
        <v>4</v>
      </c>
      <c r="F21" s="58">
        <v>140000</v>
      </c>
      <c r="G21" s="59">
        <f t="shared" si="0"/>
        <v>560000</v>
      </c>
      <c r="H21" s="46">
        <v>145000</v>
      </c>
      <c r="I21" s="60">
        <f t="shared" si="1"/>
        <v>580000</v>
      </c>
      <c r="J21" s="61" t="s">
        <v>42</v>
      </c>
      <c r="K21" s="71">
        <v>178000</v>
      </c>
      <c r="L21" s="60">
        <f t="shared" si="2"/>
        <v>712000</v>
      </c>
      <c r="M21" s="61" t="s">
        <v>42</v>
      </c>
      <c r="N21" s="72">
        <v>180000</v>
      </c>
      <c r="O21" s="60">
        <f t="shared" si="3"/>
        <v>720000</v>
      </c>
      <c r="P21" s="61" t="s">
        <v>42</v>
      </c>
      <c r="Q21" s="62">
        <f t="shared" si="4"/>
        <v>145000</v>
      </c>
      <c r="R21" s="62">
        <f t="shared" si="5"/>
        <v>580000</v>
      </c>
      <c r="S21" s="61" t="str">
        <f t="shared" si="6"/>
        <v>Việt Nam</v>
      </c>
      <c r="T21" s="21"/>
    </row>
    <row r="22" spans="1:20" s="17" customFormat="1" ht="16.5">
      <c r="A22" s="3">
        <v>16</v>
      </c>
      <c r="B22" s="67" t="s">
        <v>89</v>
      </c>
      <c r="C22" s="54"/>
      <c r="D22" s="65" t="s">
        <v>107</v>
      </c>
      <c r="E22" s="57">
        <v>16</v>
      </c>
      <c r="F22" s="58">
        <v>100000</v>
      </c>
      <c r="G22" s="59">
        <f t="shared" si="0"/>
        <v>1600000</v>
      </c>
      <c r="H22" s="46">
        <v>115000</v>
      </c>
      <c r="I22" s="60">
        <f t="shared" si="1"/>
        <v>1840000</v>
      </c>
      <c r="J22" s="61" t="s">
        <v>42</v>
      </c>
      <c r="K22" s="71">
        <v>112500</v>
      </c>
      <c r="L22" s="60">
        <f t="shared" si="2"/>
        <v>1800000</v>
      </c>
      <c r="M22" s="61" t="s">
        <v>42</v>
      </c>
      <c r="N22" s="72">
        <v>110000</v>
      </c>
      <c r="O22" s="60">
        <f t="shared" si="3"/>
        <v>1760000</v>
      </c>
      <c r="P22" s="61" t="s">
        <v>42</v>
      </c>
      <c r="Q22" s="62">
        <f t="shared" si="4"/>
        <v>115000</v>
      </c>
      <c r="R22" s="62">
        <f t="shared" si="5"/>
        <v>1840000</v>
      </c>
      <c r="S22" s="61" t="str">
        <f t="shared" si="6"/>
        <v>Việt Nam</v>
      </c>
      <c r="T22" s="21"/>
    </row>
    <row r="23" spans="1:20" s="17" customFormat="1" ht="16.5">
      <c r="A23" s="3">
        <v>17</v>
      </c>
      <c r="B23" s="67" t="s">
        <v>90</v>
      </c>
      <c r="C23" s="63" t="s">
        <v>88</v>
      </c>
      <c r="D23" s="65" t="s">
        <v>21</v>
      </c>
      <c r="E23" s="57">
        <v>14</v>
      </c>
      <c r="F23" s="58">
        <v>40000</v>
      </c>
      <c r="G23" s="59">
        <f t="shared" si="0"/>
        <v>560000</v>
      </c>
      <c r="H23" s="46">
        <v>35000</v>
      </c>
      <c r="I23" s="60">
        <f t="shared" si="1"/>
        <v>490000</v>
      </c>
      <c r="J23" s="61" t="s">
        <v>42</v>
      </c>
      <c r="K23" s="71">
        <v>35500</v>
      </c>
      <c r="L23" s="60">
        <f t="shared" si="2"/>
        <v>497000</v>
      </c>
      <c r="M23" s="61" t="s">
        <v>42</v>
      </c>
      <c r="N23" s="72">
        <v>33500</v>
      </c>
      <c r="O23" s="60">
        <f t="shared" si="3"/>
        <v>469000</v>
      </c>
      <c r="P23" s="61" t="s">
        <v>42</v>
      </c>
      <c r="Q23" s="62">
        <f t="shared" si="4"/>
        <v>35000</v>
      </c>
      <c r="R23" s="62">
        <f t="shared" si="5"/>
        <v>490000</v>
      </c>
      <c r="S23" s="61" t="str">
        <f t="shared" si="6"/>
        <v>Việt Nam</v>
      </c>
      <c r="T23" s="21"/>
    </row>
    <row r="24" spans="1:20" s="17" customFormat="1" ht="33">
      <c r="A24" s="3">
        <v>18</v>
      </c>
      <c r="B24" s="66" t="s">
        <v>91</v>
      </c>
      <c r="C24" s="56"/>
      <c r="D24" s="65" t="s">
        <v>22</v>
      </c>
      <c r="E24" s="57">
        <v>16</v>
      </c>
      <c r="F24" s="58">
        <v>8000</v>
      </c>
      <c r="G24" s="59">
        <f t="shared" si="0"/>
        <v>128000</v>
      </c>
      <c r="H24" s="46">
        <v>10000</v>
      </c>
      <c r="I24" s="60">
        <f t="shared" si="1"/>
        <v>160000</v>
      </c>
      <c r="J24" s="61" t="s">
        <v>42</v>
      </c>
      <c r="K24" s="71">
        <v>12000</v>
      </c>
      <c r="L24" s="60">
        <f t="shared" si="2"/>
        <v>192000</v>
      </c>
      <c r="M24" s="61" t="s">
        <v>42</v>
      </c>
      <c r="N24" s="72">
        <v>10000</v>
      </c>
      <c r="O24" s="60">
        <f t="shared" si="3"/>
        <v>160000</v>
      </c>
      <c r="P24" s="61" t="s">
        <v>42</v>
      </c>
      <c r="Q24" s="62">
        <f t="shared" si="4"/>
        <v>10000</v>
      </c>
      <c r="R24" s="62">
        <f t="shared" si="5"/>
        <v>160000</v>
      </c>
      <c r="S24" s="61" t="str">
        <f t="shared" si="6"/>
        <v>Việt Nam</v>
      </c>
      <c r="T24" s="21"/>
    </row>
    <row r="25" spans="1:20" s="17" customFormat="1" ht="16.5">
      <c r="A25" s="3">
        <v>19</v>
      </c>
      <c r="B25" s="66" t="s">
        <v>92</v>
      </c>
      <c r="C25" s="64" t="s">
        <v>93</v>
      </c>
      <c r="D25" s="65" t="s">
        <v>108</v>
      </c>
      <c r="E25" s="57">
        <v>40</v>
      </c>
      <c r="F25" s="58">
        <v>10000</v>
      </c>
      <c r="G25" s="59">
        <f t="shared" si="0"/>
        <v>400000</v>
      </c>
      <c r="H25" s="46">
        <v>12000</v>
      </c>
      <c r="I25" s="60">
        <f t="shared" si="1"/>
        <v>480000</v>
      </c>
      <c r="J25" s="61" t="s">
        <v>42</v>
      </c>
      <c r="K25" s="71">
        <v>15000</v>
      </c>
      <c r="L25" s="60">
        <f t="shared" si="2"/>
        <v>600000</v>
      </c>
      <c r="M25" s="61" t="s">
        <v>42</v>
      </c>
      <c r="N25" s="72">
        <v>14000</v>
      </c>
      <c r="O25" s="60">
        <f t="shared" si="3"/>
        <v>560000</v>
      </c>
      <c r="P25" s="61" t="s">
        <v>42</v>
      </c>
      <c r="Q25" s="62">
        <f t="shared" si="4"/>
        <v>12000</v>
      </c>
      <c r="R25" s="62">
        <f t="shared" si="5"/>
        <v>480000</v>
      </c>
      <c r="S25" s="61" t="str">
        <f t="shared" si="6"/>
        <v>Việt Nam</v>
      </c>
      <c r="T25" s="21"/>
    </row>
    <row r="26" spans="1:20" s="17" customFormat="1" ht="16.5">
      <c r="A26" s="3">
        <v>20</v>
      </c>
      <c r="B26" s="68" t="s">
        <v>94</v>
      </c>
      <c r="C26" s="69" t="s">
        <v>95</v>
      </c>
      <c r="D26" s="70" t="s">
        <v>22</v>
      </c>
      <c r="E26" s="70">
        <v>20</v>
      </c>
      <c r="F26" s="58">
        <v>87000</v>
      </c>
      <c r="G26" s="59">
        <f t="shared" si="0"/>
        <v>1740000</v>
      </c>
      <c r="H26" s="46">
        <v>85000</v>
      </c>
      <c r="I26" s="60">
        <f t="shared" si="1"/>
        <v>1700000</v>
      </c>
      <c r="J26" s="61" t="s">
        <v>42</v>
      </c>
      <c r="K26" s="71">
        <v>105000</v>
      </c>
      <c r="L26" s="60">
        <f t="shared" si="2"/>
        <v>2100000</v>
      </c>
      <c r="M26" s="61" t="s">
        <v>42</v>
      </c>
      <c r="N26" s="72">
        <v>88000</v>
      </c>
      <c r="O26" s="60">
        <f t="shared" si="3"/>
        <v>1760000</v>
      </c>
      <c r="P26" s="61" t="s">
        <v>42</v>
      </c>
      <c r="Q26" s="62">
        <f t="shared" si="4"/>
        <v>85000</v>
      </c>
      <c r="R26" s="62">
        <f t="shared" si="5"/>
        <v>1700000</v>
      </c>
      <c r="S26" s="61" t="str">
        <f t="shared" si="6"/>
        <v>Việt Nam</v>
      </c>
      <c r="T26" s="21"/>
    </row>
    <row r="27" spans="1:20" s="17" customFormat="1" ht="16.5">
      <c r="A27" s="3">
        <v>21</v>
      </c>
      <c r="B27" s="68" t="s">
        <v>96</v>
      </c>
      <c r="C27" s="69" t="s">
        <v>97</v>
      </c>
      <c r="D27" s="70" t="s">
        <v>22</v>
      </c>
      <c r="E27" s="70">
        <v>20</v>
      </c>
      <c r="F27" s="58">
        <v>10000</v>
      </c>
      <c r="G27" s="59">
        <f t="shared" si="0"/>
        <v>200000</v>
      </c>
      <c r="H27" s="46">
        <v>10000</v>
      </c>
      <c r="I27" s="60">
        <f t="shared" si="1"/>
        <v>200000</v>
      </c>
      <c r="J27" s="61" t="s">
        <v>42</v>
      </c>
      <c r="K27" s="71">
        <v>13000</v>
      </c>
      <c r="L27" s="60">
        <f t="shared" si="2"/>
        <v>260000</v>
      </c>
      <c r="M27" s="61" t="s">
        <v>42</v>
      </c>
      <c r="N27" s="72">
        <v>11000</v>
      </c>
      <c r="O27" s="60">
        <f t="shared" si="3"/>
        <v>220000</v>
      </c>
      <c r="P27" s="61" t="s">
        <v>115</v>
      </c>
      <c r="Q27" s="62">
        <f t="shared" si="4"/>
        <v>10000</v>
      </c>
      <c r="R27" s="62">
        <f t="shared" si="5"/>
        <v>200000</v>
      </c>
      <c r="S27" s="61" t="str">
        <f t="shared" si="6"/>
        <v>Việt Nam</v>
      </c>
      <c r="T27" s="21"/>
    </row>
    <row r="28" spans="1:20" s="17" customFormat="1" ht="16.5">
      <c r="A28" s="3">
        <v>22</v>
      </c>
      <c r="B28" s="68" t="s">
        <v>98</v>
      </c>
      <c r="C28" s="69" t="s">
        <v>99</v>
      </c>
      <c r="D28" s="70" t="s">
        <v>109</v>
      </c>
      <c r="E28" s="70">
        <v>16</v>
      </c>
      <c r="F28" s="58">
        <v>170000</v>
      </c>
      <c r="G28" s="59">
        <f t="shared" si="0"/>
        <v>2720000</v>
      </c>
      <c r="H28" s="46">
        <v>165000</v>
      </c>
      <c r="I28" s="60">
        <f t="shared" si="1"/>
        <v>2640000</v>
      </c>
      <c r="J28" s="61" t="s">
        <v>42</v>
      </c>
      <c r="K28" s="71">
        <v>190000</v>
      </c>
      <c r="L28" s="60">
        <f t="shared" si="2"/>
        <v>3040000</v>
      </c>
      <c r="M28" s="61" t="s">
        <v>42</v>
      </c>
      <c r="N28" s="72">
        <v>175000</v>
      </c>
      <c r="O28" s="60">
        <f t="shared" si="3"/>
        <v>2800000</v>
      </c>
      <c r="P28" s="61"/>
      <c r="Q28" s="62">
        <f t="shared" si="4"/>
        <v>165000</v>
      </c>
      <c r="R28" s="62">
        <f t="shared" si="5"/>
        <v>2640000</v>
      </c>
      <c r="S28" s="61" t="str">
        <f t="shared" si="6"/>
        <v>Việt Nam</v>
      </c>
      <c r="T28" s="21"/>
    </row>
    <row r="29" spans="1:20" s="17" customFormat="1" ht="16.5">
      <c r="A29" s="3">
        <v>23</v>
      </c>
      <c r="B29" s="68" t="s">
        <v>100</v>
      </c>
      <c r="C29" s="69" t="s">
        <v>99</v>
      </c>
      <c r="D29" s="70" t="s">
        <v>22</v>
      </c>
      <c r="E29" s="70">
        <v>8</v>
      </c>
      <c r="F29" s="58">
        <v>1050000</v>
      </c>
      <c r="G29" s="59">
        <f t="shared" si="0"/>
        <v>8400000</v>
      </c>
      <c r="H29" s="46">
        <v>1000000</v>
      </c>
      <c r="I29" s="60">
        <f t="shared" si="1"/>
        <v>8000000</v>
      </c>
      <c r="J29" s="61" t="s">
        <v>42</v>
      </c>
      <c r="K29" s="71">
        <v>1205000</v>
      </c>
      <c r="L29" s="60">
        <f t="shared" si="2"/>
        <v>9640000</v>
      </c>
      <c r="M29" s="61" t="s">
        <v>42</v>
      </c>
      <c r="N29" s="72">
        <v>1100000</v>
      </c>
      <c r="O29" s="60">
        <f t="shared" si="3"/>
        <v>8800000</v>
      </c>
      <c r="P29" s="61" t="s">
        <v>42</v>
      </c>
      <c r="Q29" s="62">
        <f t="shared" si="4"/>
        <v>1000000</v>
      </c>
      <c r="R29" s="62">
        <f t="shared" si="5"/>
        <v>8000000</v>
      </c>
      <c r="S29" s="61" t="str">
        <f t="shared" si="6"/>
        <v>Việt Nam</v>
      </c>
      <c r="T29" s="21"/>
    </row>
    <row r="30" spans="1:20" s="17" customFormat="1" ht="33">
      <c r="A30" s="3">
        <v>24</v>
      </c>
      <c r="B30" s="68" t="s">
        <v>101</v>
      </c>
      <c r="C30" s="69" t="s">
        <v>102</v>
      </c>
      <c r="D30" s="70" t="s">
        <v>22</v>
      </c>
      <c r="E30" s="70">
        <v>8</v>
      </c>
      <c r="F30" s="58">
        <v>225000</v>
      </c>
      <c r="G30" s="59">
        <f t="shared" si="0"/>
        <v>1800000</v>
      </c>
      <c r="H30" s="46">
        <v>220000</v>
      </c>
      <c r="I30" s="60">
        <f t="shared" si="1"/>
        <v>1760000</v>
      </c>
      <c r="J30" s="61" t="s">
        <v>42</v>
      </c>
      <c r="K30" s="71">
        <v>238300</v>
      </c>
      <c r="L30" s="60">
        <f t="shared" si="2"/>
        <v>1906400</v>
      </c>
      <c r="M30" s="61" t="s">
        <v>42</v>
      </c>
      <c r="N30" s="72">
        <v>230000</v>
      </c>
      <c r="O30" s="60">
        <f t="shared" si="3"/>
        <v>1840000</v>
      </c>
      <c r="P30" s="61" t="s">
        <v>42</v>
      </c>
      <c r="Q30" s="62">
        <f t="shared" si="4"/>
        <v>220000</v>
      </c>
      <c r="R30" s="62">
        <f t="shared" si="5"/>
        <v>1760000</v>
      </c>
      <c r="S30" s="61" t="str">
        <f t="shared" si="6"/>
        <v>Việt Nam</v>
      </c>
      <c r="T30" s="21"/>
    </row>
    <row r="31" spans="1:20" s="17" customFormat="1" ht="33">
      <c r="A31" s="3">
        <v>25</v>
      </c>
      <c r="B31" s="68" t="s">
        <v>103</v>
      </c>
      <c r="C31" s="69" t="s">
        <v>102</v>
      </c>
      <c r="D31" s="70" t="s">
        <v>22</v>
      </c>
      <c r="E31" s="70">
        <v>8</v>
      </c>
      <c r="F31" s="58">
        <v>81700</v>
      </c>
      <c r="G31" s="59">
        <f t="shared" si="0"/>
        <v>653600</v>
      </c>
      <c r="H31" s="46">
        <v>80000</v>
      </c>
      <c r="I31" s="60">
        <f t="shared" si="1"/>
        <v>640000</v>
      </c>
      <c r="J31" s="61" t="s">
        <v>42</v>
      </c>
      <c r="K31" s="71">
        <v>85000</v>
      </c>
      <c r="L31" s="60">
        <f t="shared" si="2"/>
        <v>680000</v>
      </c>
      <c r="M31" s="61" t="s">
        <v>42</v>
      </c>
      <c r="N31" s="72">
        <v>83000</v>
      </c>
      <c r="O31" s="60">
        <f t="shared" si="3"/>
        <v>664000</v>
      </c>
      <c r="P31" s="61" t="s">
        <v>42</v>
      </c>
      <c r="Q31" s="62">
        <f t="shared" si="4"/>
        <v>80000</v>
      </c>
      <c r="R31" s="62">
        <f t="shared" si="5"/>
        <v>640000</v>
      </c>
      <c r="S31" s="61" t="str">
        <f t="shared" si="6"/>
        <v>Việt Nam</v>
      </c>
      <c r="T31" s="21"/>
    </row>
    <row r="32" spans="1:20" s="17" customFormat="1" ht="26.25" customHeight="1">
      <c r="A32" s="49" t="s">
        <v>23</v>
      </c>
      <c r="B32" s="50" t="s">
        <v>44</v>
      </c>
      <c r="C32" s="51"/>
      <c r="D32" s="49"/>
      <c r="E32" s="51"/>
      <c r="F32" s="52"/>
      <c r="G32" s="52">
        <v>6994809</v>
      </c>
      <c r="H32" s="33"/>
      <c r="I32" s="34">
        <v>5410000</v>
      </c>
      <c r="J32" s="35"/>
      <c r="K32" s="36"/>
      <c r="L32" s="40">
        <v>9571200</v>
      </c>
      <c r="M32" s="37"/>
      <c r="N32" s="37"/>
      <c r="O32" s="37">
        <v>9509500</v>
      </c>
      <c r="P32" s="37"/>
      <c r="Q32" s="52"/>
      <c r="R32" s="53">
        <f>I32</f>
        <v>5410000</v>
      </c>
      <c r="S32" s="52"/>
    </row>
    <row r="33" spans="1:20" s="17" customFormat="1" ht="26.25" customHeight="1">
      <c r="A33" s="6" t="s">
        <v>25</v>
      </c>
      <c r="B33" s="8" t="s">
        <v>24</v>
      </c>
      <c r="C33" s="8"/>
      <c r="D33" s="6"/>
      <c r="E33" s="8"/>
      <c r="F33" s="9"/>
      <c r="G33" s="9">
        <v>131455160</v>
      </c>
      <c r="H33" s="32"/>
      <c r="I33" s="23">
        <v>93926700</v>
      </c>
      <c r="J33" s="23"/>
      <c r="K33" s="26"/>
      <c r="L33" s="30">
        <v>105700000</v>
      </c>
      <c r="M33" s="29"/>
      <c r="N33" s="28"/>
      <c r="O33" s="30">
        <v>92074500</v>
      </c>
      <c r="P33" s="30"/>
      <c r="Q33" s="9"/>
      <c r="R33" s="25">
        <f>I33</f>
        <v>93926700</v>
      </c>
      <c r="S33" s="9"/>
      <c r="T33" s="17">
        <v>18304000</v>
      </c>
    </row>
    <row r="34" spans="1:20" s="17" customFormat="1" ht="26.25" customHeight="1">
      <c r="A34" s="38" t="s">
        <v>27</v>
      </c>
      <c r="B34" s="8" t="s">
        <v>26</v>
      </c>
      <c r="C34" s="8"/>
      <c r="D34" s="38"/>
      <c r="E34" s="8"/>
      <c r="F34" s="9"/>
      <c r="G34" s="9">
        <v>14264894</v>
      </c>
      <c r="H34" s="32"/>
      <c r="I34" s="23"/>
      <c r="J34" s="23"/>
      <c r="K34" s="26"/>
      <c r="L34" s="30"/>
      <c r="M34" s="29"/>
      <c r="N34" s="28"/>
      <c r="O34" s="30"/>
      <c r="P34" s="30"/>
      <c r="Q34" s="9"/>
      <c r="R34" s="25"/>
      <c r="S34" s="9"/>
    </row>
    <row r="35" spans="1:20" s="17" customFormat="1" ht="26.25" customHeight="1">
      <c r="A35" s="39" t="s">
        <v>29</v>
      </c>
      <c r="B35" s="8" t="s">
        <v>116</v>
      </c>
      <c r="C35" s="8"/>
      <c r="D35" s="39"/>
      <c r="E35" s="8"/>
      <c r="F35" s="9"/>
      <c r="G35" s="9">
        <v>36601978.230000004</v>
      </c>
      <c r="H35" s="32"/>
      <c r="I35" s="23"/>
      <c r="J35" s="23"/>
      <c r="K35" s="26"/>
      <c r="L35" s="30"/>
      <c r="M35" s="29"/>
      <c r="N35" s="28"/>
      <c r="O35" s="30"/>
      <c r="P35" s="30"/>
      <c r="Q35" s="9"/>
      <c r="R35" s="25"/>
      <c r="S35" s="9"/>
    </row>
    <row r="36" spans="1:20" s="17" customFormat="1" ht="26.25" customHeight="1">
      <c r="A36" s="38" t="s">
        <v>31</v>
      </c>
      <c r="B36" s="8" t="s">
        <v>30</v>
      </c>
      <c r="C36" s="8"/>
      <c r="D36" s="38"/>
      <c r="E36" s="8"/>
      <c r="F36" s="9"/>
      <c r="G36" s="9">
        <v>129387993.04305001</v>
      </c>
      <c r="H36" s="32"/>
      <c r="I36" s="23"/>
      <c r="J36" s="23"/>
      <c r="K36" s="26"/>
      <c r="L36" s="30"/>
      <c r="M36" s="29"/>
      <c r="N36" s="28"/>
      <c r="O36" s="30"/>
      <c r="P36" s="30"/>
      <c r="Q36" s="9"/>
      <c r="R36" s="25"/>
      <c r="S36" s="9"/>
    </row>
    <row r="37" spans="1:20" s="17" customFormat="1" ht="26.25" customHeight="1">
      <c r="A37" s="38" t="s">
        <v>33</v>
      </c>
      <c r="B37" s="8" t="s">
        <v>32</v>
      </c>
      <c r="C37" s="8"/>
      <c r="D37" s="38"/>
      <c r="E37" s="8"/>
      <c r="F37" s="9"/>
      <c r="G37" s="9">
        <v>38261877.942730501</v>
      </c>
      <c r="H37" s="32"/>
      <c r="I37" s="23"/>
      <c r="J37" s="23"/>
      <c r="K37" s="26"/>
      <c r="L37" s="30"/>
      <c r="M37" s="29"/>
      <c r="N37" s="28"/>
      <c r="O37" s="30"/>
      <c r="P37" s="30"/>
      <c r="Q37" s="9"/>
      <c r="R37" s="25"/>
      <c r="S37" s="9"/>
    </row>
    <row r="38" spans="1:20" s="17" customFormat="1" ht="26.25" customHeight="1">
      <c r="A38" s="6" t="s">
        <v>35</v>
      </c>
      <c r="B38" s="8" t="s">
        <v>41</v>
      </c>
      <c r="C38" s="8"/>
      <c r="D38" s="6"/>
      <c r="E38" s="8"/>
      <c r="F38" s="9"/>
      <c r="G38" s="23">
        <f>G6+G32+G33+G34+G35+G36+G37</f>
        <v>3864449672.2157803</v>
      </c>
      <c r="H38" s="27"/>
      <c r="I38" s="23">
        <f>I6+I32+I33</f>
        <v>3812766604</v>
      </c>
      <c r="J38" s="23"/>
      <c r="K38" s="28"/>
      <c r="L38" s="30">
        <f>L6+L32+L33</f>
        <v>3940374520</v>
      </c>
      <c r="M38" s="29"/>
      <c r="N38" s="28"/>
      <c r="O38" s="30">
        <f>O6+O32+O33+O37+O34+O36</f>
        <v>3860833560</v>
      </c>
      <c r="P38" s="30"/>
      <c r="Q38" s="9"/>
      <c r="R38" s="25">
        <f t="shared" ref="R38:R40" si="7">I38</f>
        <v>3812766604</v>
      </c>
      <c r="S38" s="9"/>
      <c r="T38" s="17">
        <v>319815844.92000002</v>
      </c>
    </row>
    <row r="39" spans="1:20" s="17" customFormat="1" ht="26.25" customHeight="1">
      <c r="A39" s="6" t="s">
        <v>37</v>
      </c>
      <c r="B39" s="8" t="s">
        <v>113</v>
      </c>
      <c r="C39" s="8"/>
      <c r="D39" s="6"/>
      <c r="E39" s="8"/>
      <c r="F39" s="9"/>
      <c r="G39" s="27">
        <f>G38*10%</f>
        <v>386444967.22157806</v>
      </c>
      <c r="H39" s="27"/>
      <c r="I39" s="23">
        <f>I38*10%</f>
        <v>381276660.40000004</v>
      </c>
      <c r="J39" s="23"/>
      <c r="K39" s="28"/>
      <c r="L39" s="30">
        <f>L38*10%</f>
        <v>394037452</v>
      </c>
      <c r="M39" s="29"/>
      <c r="N39" s="28"/>
      <c r="O39" s="30">
        <f>O38*10%</f>
        <v>386083356</v>
      </c>
      <c r="P39" s="30"/>
      <c r="Q39" s="9"/>
      <c r="R39" s="25">
        <f t="shared" si="7"/>
        <v>381276660.40000004</v>
      </c>
      <c r="S39" s="9"/>
      <c r="T39" s="17">
        <v>25585267.593600001</v>
      </c>
    </row>
    <row r="40" spans="1:20" s="17" customFormat="1" ht="26.25" customHeight="1">
      <c r="A40" s="6"/>
      <c r="B40" s="8" t="s">
        <v>61</v>
      </c>
      <c r="C40" s="8"/>
      <c r="D40" s="6"/>
      <c r="E40" s="8"/>
      <c r="F40" s="9"/>
      <c r="G40" s="24">
        <f>G38+G39</f>
        <v>4250894639.4373584</v>
      </c>
      <c r="H40" s="27"/>
      <c r="I40" s="23">
        <f>I38+I39</f>
        <v>4194043264.4000001</v>
      </c>
      <c r="J40" s="23"/>
      <c r="K40" s="28"/>
      <c r="L40" s="30">
        <f>L38+L39</f>
        <v>4334411972</v>
      </c>
      <c r="M40" s="29"/>
      <c r="N40" s="28"/>
      <c r="O40" s="30">
        <f>O38+O39</f>
        <v>4246916916</v>
      </c>
      <c r="P40" s="30"/>
      <c r="Q40" s="9"/>
      <c r="R40" s="25">
        <f t="shared" si="7"/>
        <v>4194043264.4000001</v>
      </c>
      <c r="S40" s="9"/>
      <c r="T40" s="20">
        <v>345401112.51359999</v>
      </c>
    </row>
    <row r="41" spans="1:20" s="17" customFormat="1" ht="26.25" customHeight="1">
      <c r="A41" s="6"/>
      <c r="B41" s="8" t="s">
        <v>46</v>
      </c>
      <c r="C41" s="31"/>
      <c r="D41" s="6"/>
      <c r="E41" s="8"/>
      <c r="F41" s="8"/>
      <c r="G41" s="8"/>
      <c r="H41" s="43" t="s">
        <v>47</v>
      </c>
      <c r="I41" s="43"/>
      <c r="J41" s="43"/>
      <c r="K41" s="41" t="s">
        <v>49</v>
      </c>
      <c r="L41" s="41"/>
      <c r="M41" s="41"/>
      <c r="N41" s="41" t="s">
        <v>48</v>
      </c>
      <c r="O41" s="41"/>
      <c r="P41" s="41"/>
      <c r="Q41" s="41" t="str">
        <f>H41</f>
        <v>Xếp thứ nhất</v>
      </c>
      <c r="R41" s="41"/>
      <c r="S41" s="41"/>
    </row>
    <row r="42" spans="1:20">
      <c r="I42" s="19"/>
    </row>
    <row r="43" spans="1:20">
      <c r="G43" s="18"/>
      <c r="I43" s="19"/>
      <c r="O43" s="2" t="s">
        <v>62</v>
      </c>
    </row>
    <row r="44" spans="1:20">
      <c r="L44" s="18">
        <f>I40-O40</f>
        <v>-52873651.599999905</v>
      </c>
    </row>
    <row r="45" spans="1:20">
      <c r="I45" s="22">
        <v>18067722.403200001</v>
      </c>
    </row>
    <row r="47" spans="1:20">
      <c r="K47" s="18"/>
    </row>
  </sheetData>
  <mergeCells count="20">
    <mergeCell ref="K4:M4"/>
    <mergeCell ref="N4:P4"/>
    <mergeCell ref="G4:G5"/>
    <mergeCell ref="Q4:S4"/>
    <mergeCell ref="Q3:S3"/>
    <mergeCell ref="A1:S1"/>
    <mergeCell ref="A2:S2"/>
    <mergeCell ref="H41:J41"/>
    <mergeCell ref="K41:M41"/>
    <mergeCell ref="N41:P41"/>
    <mergeCell ref="Q41:S41"/>
    <mergeCell ref="A3:A5"/>
    <mergeCell ref="B3:B5"/>
    <mergeCell ref="C3:C5"/>
    <mergeCell ref="D3:D5"/>
    <mergeCell ref="E3:E5"/>
    <mergeCell ref="F4:F5"/>
    <mergeCell ref="F3:G3"/>
    <mergeCell ref="H3:P3"/>
    <mergeCell ref="H4:J4"/>
  </mergeCells>
  <phoneticPr fontId="44" type="noConversion"/>
  <printOptions horizontalCentered="1"/>
  <pageMargins left="0.19685039370078741" right="0.19685039370078741" top="0.23622047244094491" bottom="0.23622047244094491" header="0.31496062992125984" footer="0.31496062992125984"/>
  <pageSetup paperSize="9" scale="49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view="pageBreakPreview" zoomScale="85" zoomScaleSheetLayoutView="85" workbookViewId="0">
      <selection activeCell="S34" sqref="S34"/>
    </sheetView>
  </sheetViews>
  <sheetFormatPr defaultColWidth="9.140625" defaultRowHeight="15.75"/>
  <cols>
    <col min="1" max="1" width="5.7109375" style="2" customWidth="1"/>
    <col min="2" max="2" width="31.5703125" style="1" customWidth="1"/>
    <col min="3" max="3" width="16.28515625" style="1" customWidth="1"/>
    <col min="4" max="4" width="7.28515625" style="4" customWidth="1"/>
    <col min="5" max="5" width="11.42578125" style="1" customWidth="1"/>
    <col min="6" max="9" width="13.7109375" style="1" hidden="1" customWidth="1"/>
    <col min="10" max="10" width="12" style="1" hidden="1" customWidth="1"/>
    <col min="11" max="12" width="13.7109375" style="1" hidden="1" customWidth="1"/>
    <col min="13" max="13" width="10.140625" style="1" hidden="1" customWidth="1"/>
    <col min="14" max="15" width="13.7109375" style="1" hidden="1" customWidth="1"/>
    <col min="16" max="16" width="11" style="1" hidden="1" customWidth="1"/>
    <col min="17" max="17" width="15.42578125" style="1" bestFit="1" customWidth="1"/>
    <col min="18" max="18" width="19.140625" style="1" bestFit="1" customWidth="1"/>
    <col min="19" max="19" width="11.28515625" style="1" customWidth="1"/>
    <col min="20" max="16384" width="9.140625" style="1"/>
  </cols>
  <sheetData>
    <row r="1" spans="1:19">
      <c r="A1" s="42" t="s">
        <v>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ht="30.75" customHeight="1">
      <c r="A2" s="42" t="s">
        <v>51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 s="7" customFormat="1">
      <c r="A3" s="41" t="s">
        <v>2</v>
      </c>
      <c r="B3" s="41" t="s">
        <v>3</v>
      </c>
      <c r="C3" s="41" t="s">
        <v>4</v>
      </c>
      <c r="D3" s="41" t="s">
        <v>5</v>
      </c>
      <c r="E3" s="44" t="s">
        <v>6</v>
      </c>
      <c r="F3" s="41" t="s">
        <v>7</v>
      </c>
      <c r="G3" s="41"/>
      <c r="H3" s="41" t="s">
        <v>11</v>
      </c>
      <c r="I3" s="41"/>
      <c r="J3" s="41"/>
      <c r="K3" s="41"/>
      <c r="L3" s="41"/>
      <c r="M3" s="41"/>
      <c r="N3" s="41"/>
      <c r="O3" s="41"/>
      <c r="P3" s="41"/>
      <c r="Q3" s="41" t="s">
        <v>9</v>
      </c>
      <c r="R3" s="41" t="s">
        <v>8</v>
      </c>
      <c r="S3" s="41" t="s">
        <v>10</v>
      </c>
    </row>
    <row r="4" spans="1:19" s="7" customFormat="1">
      <c r="A4" s="41"/>
      <c r="B4" s="41"/>
      <c r="C4" s="41"/>
      <c r="D4" s="41"/>
      <c r="E4" s="44"/>
      <c r="F4" s="41" t="s">
        <v>9</v>
      </c>
      <c r="G4" s="41" t="s">
        <v>8</v>
      </c>
      <c r="H4" s="44" t="s">
        <v>12</v>
      </c>
      <c r="I4" s="44"/>
      <c r="J4" s="44"/>
      <c r="K4" s="44" t="s">
        <v>13</v>
      </c>
      <c r="L4" s="44"/>
      <c r="M4" s="44"/>
      <c r="N4" s="44" t="s">
        <v>14</v>
      </c>
      <c r="O4" s="44"/>
      <c r="P4" s="44"/>
      <c r="Q4" s="41"/>
      <c r="R4" s="41"/>
      <c r="S4" s="41"/>
    </row>
    <row r="5" spans="1:19" s="7" customFormat="1">
      <c r="A5" s="41"/>
      <c r="B5" s="41"/>
      <c r="C5" s="41"/>
      <c r="D5" s="41"/>
      <c r="E5" s="44"/>
      <c r="F5" s="41"/>
      <c r="G5" s="41"/>
      <c r="H5" s="6" t="s">
        <v>9</v>
      </c>
      <c r="I5" s="6" t="s">
        <v>8</v>
      </c>
      <c r="J5" s="6" t="s">
        <v>10</v>
      </c>
      <c r="K5" s="6" t="s">
        <v>9</v>
      </c>
      <c r="L5" s="6" t="s">
        <v>8</v>
      </c>
      <c r="M5" s="6" t="s">
        <v>10</v>
      </c>
      <c r="N5" s="6" t="s">
        <v>9</v>
      </c>
      <c r="O5" s="6" t="s">
        <v>8</v>
      </c>
      <c r="P5" s="6" t="s">
        <v>10</v>
      </c>
      <c r="Q5" s="41"/>
      <c r="R5" s="41"/>
      <c r="S5" s="41"/>
    </row>
    <row r="6" spans="1:19" s="5" customFormat="1">
      <c r="A6" s="6" t="s">
        <v>16</v>
      </c>
      <c r="B6" s="8" t="s">
        <v>45</v>
      </c>
      <c r="C6" s="8"/>
      <c r="D6" s="6"/>
      <c r="E6" s="8"/>
      <c r="F6" s="9"/>
      <c r="G6" s="9">
        <f>G7+G8</f>
        <v>59425000</v>
      </c>
      <c r="H6" s="9"/>
      <c r="I6" s="9">
        <f t="shared" ref="I6:O6" si="0">I7+I8</f>
        <v>54825000</v>
      </c>
      <c r="J6" s="9"/>
      <c r="K6" s="9"/>
      <c r="L6" s="9">
        <f t="shared" si="0"/>
        <v>59525000</v>
      </c>
      <c r="M6" s="9"/>
      <c r="N6" s="9"/>
      <c r="O6" s="9">
        <f t="shared" si="0"/>
        <v>58075000</v>
      </c>
      <c r="P6" s="9"/>
      <c r="Q6" s="9"/>
      <c r="R6" s="9">
        <f t="shared" ref="R6" si="1">R7+R8</f>
        <v>54825000</v>
      </c>
      <c r="S6" s="9"/>
    </row>
    <row r="7" spans="1:19">
      <c r="A7" s="3">
        <v>1</v>
      </c>
      <c r="B7" s="10" t="s">
        <v>17</v>
      </c>
      <c r="C7" s="10" t="s">
        <v>19</v>
      </c>
      <c r="D7" s="3" t="s">
        <v>21</v>
      </c>
      <c r="E7" s="10">
        <v>5</v>
      </c>
      <c r="F7" s="11">
        <v>185000</v>
      </c>
      <c r="G7" s="11">
        <f>E7*F7</f>
        <v>925000</v>
      </c>
      <c r="H7" s="11">
        <v>165000</v>
      </c>
      <c r="I7" s="11">
        <f>E7*H7</f>
        <v>825000</v>
      </c>
      <c r="J7" s="11" t="s">
        <v>42</v>
      </c>
      <c r="K7" s="11">
        <v>205000</v>
      </c>
      <c r="L7" s="11">
        <f>E7*K7</f>
        <v>1025000</v>
      </c>
      <c r="M7" s="15" t="s">
        <v>42</v>
      </c>
      <c r="N7" s="11">
        <v>215000</v>
      </c>
      <c r="O7" s="11">
        <f>E7*N7</f>
        <v>1075000</v>
      </c>
      <c r="P7" s="11" t="s">
        <v>42</v>
      </c>
      <c r="Q7" s="11">
        <f>H7</f>
        <v>165000</v>
      </c>
      <c r="R7" s="11">
        <f>E7*Q7</f>
        <v>825000</v>
      </c>
      <c r="S7" s="11" t="s">
        <v>42</v>
      </c>
    </row>
    <row r="8" spans="1:19" ht="31.5">
      <c r="A8" s="3">
        <v>2</v>
      </c>
      <c r="B8" s="12" t="s">
        <v>18</v>
      </c>
      <c r="C8" s="10" t="s">
        <v>20</v>
      </c>
      <c r="D8" s="3" t="s">
        <v>22</v>
      </c>
      <c r="E8" s="10">
        <v>3</v>
      </c>
      <c r="F8" s="11">
        <v>19500000</v>
      </c>
      <c r="G8" s="11">
        <f>E8*F8</f>
        <v>58500000</v>
      </c>
      <c r="H8" s="11">
        <v>18000000</v>
      </c>
      <c r="I8" s="11">
        <f>E8*H8</f>
        <v>54000000</v>
      </c>
      <c r="J8" s="11" t="s">
        <v>42</v>
      </c>
      <c r="K8" s="11">
        <v>19500000</v>
      </c>
      <c r="L8" s="11">
        <f>E8*K8</f>
        <v>58500000</v>
      </c>
      <c r="M8" s="15" t="s">
        <v>42</v>
      </c>
      <c r="N8" s="11">
        <v>19000000</v>
      </c>
      <c r="O8" s="11">
        <f>E8*N8</f>
        <v>57000000</v>
      </c>
      <c r="P8" s="11" t="s">
        <v>42</v>
      </c>
      <c r="Q8" s="11">
        <f>H8</f>
        <v>18000000</v>
      </c>
      <c r="R8" s="11">
        <f>E8*Q8</f>
        <v>54000000</v>
      </c>
      <c r="S8" s="11" t="s">
        <v>42</v>
      </c>
    </row>
    <row r="9" spans="1:19" s="5" customFormat="1">
      <c r="A9" s="6" t="s">
        <v>23</v>
      </c>
      <c r="B9" s="13" t="s">
        <v>44</v>
      </c>
      <c r="C9" s="8"/>
      <c r="D9" s="6"/>
      <c r="E9" s="8"/>
      <c r="F9" s="9"/>
      <c r="G9" s="9">
        <v>0</v>
      </c>
      <c r="H9" s="9"/>
      <c r="I9" s="9">
        <v>1096500</v>
      </c>
      <c r="J9" s="9"/>
      <c r="K9" s="9"/>
      <c r="L9" s="9">
        <v>3571500</v>
      </c>
      <c r="M9" s="9"/>
      <c r="N9" s="9"/>
      <c r="O9" s="9">
        <v>2903750</v>
      </c>
      <c r="P9" s="9"/>
      <c r="Q9" s="9"/>
      <c r="R9" s="9">
        <f>I9</f>
        <v>1096500</v>
      </c>
      <c r="S9" s="9"/>
    </row>
    <row r="10" spans="1:19" s="5" customFormat="1">
      <c r="A10" s="6" t="s">
        <v>25</v>
      </c>
      <c r="B10" s="8" t="s">
        <v>24</v>
      </c>
      <c r="C10" s="8"/>
      <c r="D10" s="6"/>
      <c r="E10" s="8"/>
      <c r="F10" s="9"/>
      <c r="G10" s="9">
        <v>6604000</v>
      </c>
      <c r="H10" s="9"/>
      <c r="I10" s="9">
        <v>5687500</v>
      </c>
      <c r="J10" s="9"/>
      <c r="K10" s="9"/>
      <c r="L10" s="9">
        <v>6502400</v>
      </c>
      <c r="M10" s="9"/>
      <c r="N10" s="9"/>
      <c r="O10" s="9">
        <v>7112000</v>
      </c>
      <c r="P10" s="9"/>
      <c r="Q10" s="9"/>
      <c r="R10" s="9">
        <f>R11+R17</f>
        <v>5687500</v>
      </c>
      <c r="S10" s="9"/>
    </row>
    <row r="11" spans="1:19" s="5" customFormat="1">
      <c r="A11" s="6">
        <v>1</v>
      </c>
      <c r="B11" s="8" t="s">
        <v>52</v>
      </c>
      <c r="C11" s="8"/>
      <c r="D11" s="6" t="s">
        <v>53</v>
      </c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>SUM(R12:R16)</f>
        <v>4550000</v>
      </c>
      <c r="S11" s="9"/>
    </row>
    <row r="12" spans="1:19" s="5" customFormat="1">
      <c r="A12" s="6" t="s">
        <v>54</v>
      </c>
      <c r="B12" s="10" t="s">
        <v>56</v>
      </c>
      <c r="C12" s="8"/>
      <c r="D12" s="3" t="s">
        <v>53</v>
      </c>
      <c r="E12" s="10">
        <v>2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1">
        <v>350000</v>
      </c>
      <c r="R12" s="11">
        <f>E12*Q12</f>
        <v>700000</v>
      </c>
      <c r="S12" s="9"/>
    </row>
    <row r="13" spans="1:19" s="5" customFormat="1">
      <c r="A13" s="6" t="s">
        <v>54</v>
      </c>
      <c r="B13" s="10" t="s">
        <v>57</v>
      </c>
      <c r="C13" s="8"/>
      <c r="D13" s="3" t="s">
        <v>53</v>
      </c>
      <c r="E13" s="10">
        <v>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1">
        <v>350000</v>
      </c>
      <c r="R13" s="11">
        <f t="shared" ref="R13:R16" si="2">E13*Q13</f>
        <v>1050000</v>
      </c>
      <c r="S13" s="9"/>
    </row>
    <row r="14" spans="1:19" s="5" customFormat="1">
      <c r="A14" s="6" t="s">
        <v>54</v>
      </c>
      <c r="B14" s="10" t="s">
        <v>58</v>
      </c>
      <c r="C14" s="8"/>
      <c r="D14" s="3" t="s">
        <v>53</v>
      </c>
      <c r="E14" s="10">
        <v>5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1">
        <v>350000</v>
      </c>
      <c r="R14" s="11">
        <f t="shared" si="2"/>
        <v>1750000</v>
      </c>
      <c r="S14" s="9"/>
    </row>
    <row r="15" spans="1:19" s="5" customFormat="1">
      <c r="A15" s="6" t="s">
        <v>54</v>
      </c>
      <c r="B15" s="10" t="s">
        <v>59</v>
      </c>
      <c r="C15" s="8"/>
      <c r="D15" s="3" t="s">
        <v>53</v>
      </c>
      <c r="E15" s="10">
        <v>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1">
        <v>350000</v>
      </c>
      <c r="R15" s="11">
        <f t="shared" si="2"/>
        <v>700000</v>
      </c>
      <c r="S15" s="9"/>
    </row>
    <row r="16" spans="1:19" s="5" customFormat="1">
      <c r="A16" s="6" t="s">
        <v>54</v>
      </c>
      <c r="B16" s="10" t="s">
        <v>60</v>
      </c>
      <c r="C16" s="8"/>
      <c r="D16" s="3" t="s">
        <v>53</v>
      </c>
      <c r="E16" s="10">
        <v>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1">
        <v>350000</v>
      </c>
      <c r="R16" s="11">
        <f t="shared" si="2"/>
        <v>350000</v>
      </c>
      <c r="S16" s="9"/>
    </row>
    <row r="17" spans="1:19" s="5" customFormat="1">
      <c r="A17" s="6">
        <v>2</v>
      </c>
      <c r="B17" s="8" t="s">
        <v>55</v>
      </c>
      <c r="C17" s="8"/>
      <c r="D17" s="6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>
        <f>R11*25%</f>
        <v>1137500</v>
      </c>
      <c r="S17" s="9"/>
    </row>
    <row r="18" spans="1:19" s="5" customFormat="1">
      <c r="A18" s="6" t="s">
        <v>27</v>
      </c>
      <c r="B18" s="8" t="s">
        <v>26</v>
      </c>
      <c r="C18" s="8"/>
      <c r="D18" s="6"/>
      <c r="E18" s="8"/>
      <c r="F18" s="9"/>
      <c r="G18" s="9">
        <v>1009904</v>
      </c>
      <c r="H18" s="9"/>
      <c r="I18" s="9">
        <v>1421875</v>
      </c>
      <c r="J18" s="9"/>
      <c r="K18" s="9"/>
      <c r="L18" s="9">
        <v>1430528</v>
      </c>
      <c r="M18" s="9"/>
      <c r="N18" s="9"/>
      <c r="O18" s="9">
        <v>1635760</v>
      </c>
      <c r="P18" s="9"/>
      <c r="Q18" s="9"/>
      <c r="R18" s="9">
        <f t="shared" ref="R18:R26" si="3">I18</f>
        <v>1421875</v>
      </c>
      <c r="S18" s="9"/>
    </row>
    <row r="19" spans="1:19" s="5" customFormat="1">
      <c r="A19" s="6" t="s">
        <v>29</v>
      </c>
      <c r="B19" s="8" t="s">
        <v>28</v>
      </c>
      <c r="C19" s="8"/>
      <c r="D19" s="6"/>
      <c r="E19" s="8"/>
      <c r="F19" s="9"/>
      <c r="G19" s="9">
        <v>2011167</v>
      </c>
      <c r="H19" s="9"/>
      <c r="I19" s="9">
        <v>5482500</v>
      </c>
      <c r="J19" s="9"/>
      <c r="K19" s="9"/>
      <c r="L19" s="9">
        <v>3571500</v>
      </c>
      <c r="M19" s="9"/>
      <c r="N19" s="9"/>
      <c r="O19" s="9">
        <v>4646000</v>
      </c>
      <c r="P19" s="9"/>
      <c r="Q19" s="9"/>
      <c r="R19" s="9">
        <f t="shared" si="3"/>
        <v>5482500</v>
      </c>
      <c r="S19" s="9"/>
    </row>
    <row r="20" spans="1:19" s="5" customFormat="1">
      <c r="A20" s="6" t="s">
        <v>31</v>
      </c>
      <c r="B20" s="8" t="s">
        <v>30</v>
      </c>
      <c r="C20" s="8"/>
      <c r="D20" s="6"/>
      <c r="E20" s="8"/>
      <c r="F20" s="9"/>
      <c r="G20" s="9">
        <v>3797754</v>
      </c>
      <c r="H20" s="9"/>
      <c r="I20" s="9">
        <v>3151544</v>
      </c>
      <c r="J20" s="9"/>
      <c r="K20" s="9"/>
      <c r="L20" s="9">
        <v>4261766</v>
      </c>
      <c r="M20" s="9"/>
      <c r="N20" s="9"/>
      <c r="O20" s="9">
        <v>6972651</v>
      </c>
      <c r="P20" s="9"/>
      <c r="Q20" s="9"/>
      <c r="R20" s="9">
        <f t="shared" si="3"/>
        <v>3151544</v>
      </c>
      <c r="S20" s="9"/>
    </row>
    <row r="21" spans="1:19" s="5" customFormat="1">
      <c r="A21" s="6" t="s">
        <v>33</v>
      </c>
      <c r="B21" s="8" t="s">
        <v>32</v>
      </c>
      <c r="C21" s="8"/>
      <c r="D21" s="6"/>
      <c r="E21" s="8"/>
      <c r="F21" s="9"/>
      <c r="G21" s="9">
        <v>1456957</v>
      </c>
      <c r="H21" s="9"/>
      <c r="I21" s="9">
        <v>2149948</v>
      </c>
      <c r="J21" s="9"/>
      <c r="K21" s="9"/>
      <c r="L21" s="9">
        <v>1577254</v>
      </c>
      <c r="M21" s="9"/>
      <c r="N21" s="9"/>
      <c r="O21" s="9">
        <v>2440355</v>
      </c>
      <c r="P21" s="9"/>
      <c r="Q21" s="9"/>
      <c r="R21" s="9">
        <f t="shared" si="3"/>
        <v>2149948</v>
      </c>
      <c r="S21" s="9"/>
    </row>
    <row r="22" spans="1:19" s="5" customFormat="1">
      <c r="A22" s="6" t="s">
        <v>35</v>
      </c>
      <c r="B22" s="8" t="s">
        <v>34</v>
      </c>
      <c r="C22" s="8"/>
      <c r="D22" s="6"/>
      <c r="E22" s="8"/>
      <c r="F22" s="9"/>
      <c r="G22" s="9">
        <f>G6</f>
        <v>59425000</v>
      </c>
      <c r="H22" s="9"/>
      <c r="I22" s="9">
        <f>I6</f>
        <v>54825000</v>
      </c>
      <c r="J22" s="9"/>
      <c r="K22" s="9"/>
      <c r="L22" s="9">
        <f>L6</f>
        <v>59525000</v>
      </c>
      <c r="M22" s="9"/>
      <c r="N22" s="9"/>
      <c r="O22" s="9">
        <f>O6</f>
        <v>58075000</v>
      </c>
      <c r="P22" s="9"/>
      <c r="Q22" s="9"/>
      <c r="R22" s="9">
        <f t="shared" si="3"/>
        <v>54825000</v>
      </c>
      <c r="S22" s="9"/>
    </row>
    <row r="23" spans="1:19" s="5" customFormat="1">
      <c r="A23" s="6" t="s">
        <v>37</v>
      </c>
      <c r="B23" s="8" t="s">
        <v>36</v>
      </c>
      <c r="C23" s="8"/>
      <c r="D23" s="6"/>
      <c r="E23" s="8"/>
      <c r="F23" s="9"/>
      <c r="G23" s="9">
        <f>G10+G18+G19+G20+G21</f>
        <v>14879782</v>
      </c>
      <c r="H23" s="9"/>
      <c r="I23" s="9">
        <f>I9+I10+I18+I19+I20+I21</f>
        <v>18989867</v>
      </c>
      <c r="J23" s="9"/>
      <c r="K23" s="9"/>
      <c r="L23" s="9">
        <f>L9+L10+L18+L19+L20+L21</f>
        <v>20914948</v>
      </c>
      <c r="M23" s="9"/>
      <c r="N23" s="9"/>
      <c r="O23" s="9">
        <f>O9+O10+O18+O19+O20+O21</f>
        <v>25710516</v>
      </c>
      <c r="P23" s="9"/>
      <c r="Q23" s="9"/>
      <c r="R23" s="9">
        <f t="shared" si="3"/>
        <v>18989867</v>
      </c>
      <c r="S23" s="9"/>
    </row>
    <row r="24" spans="1:19" s="5" customFormat="1">
      <c r="A24" s="6" t="s">
        <v>38</v>
      </c>
      <c r="B24" s="8" t="s">
        <v>40</v>
      </c>
      <c r="C24" s="8"/>
      <c r="D24" s="6"/>
      <c r="E24" s="8"/>
      <c r="F24" s="9"/>
      <c r="G24" s="9">
        <f>G22*0.1</f>
        <v>5942500</v>
      </c>
      <c r="H24" s="9"/>
      <c r="I24" s="9">
        <f>I22*0.1</f>
        <v>5482500</v>
      </c>
      <c r="J24" s="9"/>
      <c r="K24" s="9"/>
      <c r="L24" s="9">
        <f>L22*0.1</f>
        <v>5952500</v>
      </c>
      <c r="M24" s="9"/>
      <c r="N24" s="9"/>
      <c r="O24" s="9">
        <f>O22*0.1</f>
        <v>5807500</v>
      </c>
      <c r="P24" s="9"/>
      <c r="Q24" s="9"/>
      <c r="R24" s="9">
        <f t="shared" si="3"/>
        <v>5482500</v>
      </c>
      <c r="S24" s="9"/>
    </row>
    <row r="25" spans="1:19" s="5" customFormat="1">
      <c r="A25" s="14" t="s">
        <v>43</v>
      </c>
      <c r="B25" s="8" t="s">
        <v>39</v>
      </c>
      <c r="C25" s="8"/>
      <c r="D25" s="6"/>
      <c r="E25" s="8"/>
      <c r="F25" s="9"/>
      <c r="G25" s="9">
        <f>G23*0.08</f>
        <v>1190382.56</v>
      </c>
      <c r="H25" s="9"/>
      <c r="I25" s="9">
        <f>I23*0.08</f>
        <v>1519189.36</v>
      </c>
      <c r="J25" s="9"/>
      <c r="K25" s="9"/>
      <c r="L25" s="9">
        <f>L23*0.08</f>
        <v>1673195.84</v>
      </c>
      <c r="M25" s="9"/>
      <c r="N25" s="9"/>
      <c r="O25" s="9">
        <f>O23*0.08</f>
        <v>2056841.28</v>
      </c>
      <c r="P25" s="9"/>
      <c r="Q25" s="9"/>
      <c r="R25" s="9">
        <f t="shared" si="3"/>
        <v>1519189.36</v>
      </c>
      <c r="S25" s="9"/>
    </row>
    <row r="26" spans="1:19" s="5" customFormat="1">
      <c r="A26" s="6"/>
      <c r="B26" s="8" t="s">
        <v>41</v>
      </c>
      <c r="C26" s="8"/>
      <c r="D26" s="6"/>
      <c r="E26" s="8"/>
      <c r="F26" s="9"/>
      <c r="G26" s="9">
        <v>81437664</v>
      </c>
      <c r="H26" s="9"/>
      <c r="I26" s="9">
        <f>I22+I23+I24+I25</f>
        <v>80816556.359999999</v>
      </c>
      <c r="J26" s="9"/>
      <c r="K26" s="9"/>
      <c r="L26" s="9">
        <f>L22+L23+L24+L25</f>
        <v>88065643.840000004</v>
      </c>
      <c r="M26" s="9"/>
      <c r="N26" s="9"/>
      <c r="O26" s="9">
        <f>O22+O23+O24+O25</f>
        <v>91649857.280000001</v>
      </c>
      <c r="P26" s="9"/>
      <c r="Q26" s="9"/>
      <c r="R26" s="9">
        <f t="shared" si="3"/>
        <v>80816556.359999999</v>
      </c>
      <c r="S26" s="9"/>
    </row>
  </sheetData>
  <mergeCells count="17">
    <mergeCell ref="F4:F5"/>
    <mergeCell ref="G4:G5"/>
    <mergeCell ref="H4:J4"/>
    <mergeCell ref="K4:M4"/>
    <mergeCell ref="N4:P4"/>
    <mergeCell ref="A1:S1"/>
    <mergeCell ref="A2:S2"/>
    <mergeCell ref="A3:A5"/>
    <mergeCell ref="B3:B5"/>
    <mergeCell ref="C3:C5"/>
    <mergeCell ref="D3:D5"/>
    <mergeCell ref="E3:E5"/>
    <mergeCell ref="F3:G3"/>
    <mergeCell ref="H3:P3"/>
    <mergeCell ref="Q3:Q5"/>
    <mergeCell ref="R3:R5"/>
    <mergeCell ref="S3:S5"/>
  </mergeCells>
  <printOptions horizontalCentered="1"/>
  <pageMargins left="0.55000000000000004" right="0.35" top="0.45" bottom="0.45" header="0.3" footer="0.3"/>
  <pageSetup paperSize="9" scale="74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Đánh giá</vt:lpstr>
      <vt:lpstr>PLHĐ</vt:lpstr>
      <vt:lpstr>Sheet3</vt:lpstr>
      <vt:lpstr>'Đánh giá'!Print_Area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Đức Phạm</cp:lastModifiedBy>
  <cp:lastPrinted>2025-09-25T03:44:29Z</cp:lastPrinted>
  <dcterms:created xsi:type="dcterms:W3CDTF">2024-01-23T09:16:02Z</dcterms:created>
  <dcterms:modified xsi:type="dcterms:W3CDTF">2025-09-25T03:44:46Z</dcterms:modified>
</cp:coreProperties>
</file>